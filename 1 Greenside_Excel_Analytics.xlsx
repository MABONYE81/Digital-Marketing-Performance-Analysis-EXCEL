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" sheetId="2" state="visible" r:id="rId4"/>
    <sheet name="Read Me" sheetId="3" state="visible" r:id="rId5"/>
    <sheet name="Excel Analysis" sheetId="4" state="visible" r:id="rId6"/>
    <sheet name="Facebook" sheetId="5" state="visible" r:id="rId7"/>
    <sheet name="Instagram" sheetId="6" state="visible" r:id="rId8"/>
    <sheet name="Website" sheetId="7" state="visible" r:id="rId9"/>
    <sheet name="Airbnb" sheetId="8" state="visible" r:id="rId10"/>
    <sheet name="Google Business" sheetId="9" state="visible" r:id="rId11"/>
    <sheet name="Reviews" sheetId="10" state="visible" r:id="rId12"/>
    <sheet name="Tourism Context" sheetId="11" state="visible" r:id="rId13"/>
    <sheet name="Monthly Summar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<sst xmlns="http://schemas.openxmlformats.org/spreadsheetml/2006/main" count="408" uniqueCount="218">
  <si>
    <t xml:space="preserve">GREENSIDE VILLAS — DIGITAL MARKETING DASHBOARD</t>
  </si>
  <si>
    <t xml:space="preserve">Weekly tracking across Facebook, Instagram, Website, and Airbnb — Jan 2025 to Jul 2026 · Live formulas, updates automatically</t>
  </si>
  <si>
    <t xml:space="preserve">TOTAL REACH
(Facebook + Instagram)</t>
  </si>
  <si>
    <t xml:space="preserve">TOTAL ENGAGEMENT
(Facebook + Instagram)</t>
  </si>
  <si>
    <t xml:space="preserve">WEBSITE VISITORS
(cumulative)</t>
  </si>
  <si>
    <t xml:space="preserve">AIRBNB BOOKINGS</t>
  </si>
  <si>
    <t xml:space="preserve">AIRBNB REVENUE</t>
  </si>
  <si>
    <t xml:space="preserve">AVG. OCCUPANCY RATE</t>
  </si>
  <si>
    <t xml:space="preserve">MARKETING FUNNEL (cumulative, all channels)</t>
  </si>
  <si>
    <t xml:space="preserve">Stage</t>
  </si>
  <si>
    <t xml:space="preserve">Volume</t>
  </si>
  <si>
    <t xml:space="preserve">Awareness (Reach)</t>
  </si>
  <si>
    <t xml:space="preserve">Interest (Engagement)</t>
  </si>
  <si>
    <t xml:space="preserve">Intent (Website Visitors + Airbnb Views)</t>
  </si>
  <si>
    <t xml:space="preserve">Conversion (Airbnb Bookings)</t>
  </si>
  <si>
    <t xml:space="preserve">WEBSITE TRAFFIC TREND</t>
  </si>
  <si>
    <t xml:space="preserve">AIRBNB BOOKINGS &amp; REVENUE TREND</t>
  </si>
  <si>
    <t xml:space="preserve">FACEBOOK vs INSTAGRAM — REACH TREND</t>
  </si>
  <si>
    <t xml:space="preserve">INTERACTIVE CHANNEL EXPLORER</t>
  </si>
  <si>
    <t xml:space="preserve">Select a channel:</t>
  </si>
  <si>
    <t xml:space="preserve">Facebook</t>
  </si>
  <si>
    <t xml:space="preserve">Week</t>
  </si>
  <si>
    <t xml:space="preserve">Primary Metric (Reach / Visitors / Views)</t>
  </si>
  <si>
    <t xml:space="preserve">Secondary Metric (Engagement / Conversions / Bookings)</t>
  </si>
  <si>
    <t xml:space="preserve">Summary — Automatic Weekly Roll-Up (pulls live from Facebook, Instagram, Website &amp; Airbnb tabs)</t>
  </si>
  <si>
    <t xml:space="preserve">FB Reach</t>
  </si>
  <si>
    <t xml:space="preserve">IG Reach</t>
  </si>
  <si>
    <t xml:space="preserve">Total Awareness (Reach)</t>
  </si>
  <si>
    <t xml:space="preserve">FB Engagement</t>
  </si>
  <si>
    <t xml:space="preserve">IG Engagement</t>
  </si>
  <si>
    <t xml:space="preserve">Total Interest (Engagement)</t>
  </si>
  <si>
    <t xml:space="preserve">Website Visitors</t>
  </si>
  <si>
    <t xml:space="preserve">Airbnb Views</t>
  </si>
  <si>
    <t xml:space="preserve">Total Intent</t>
  </si>
  <si>
    <t xml:space="preserve">Airbnb Inquiries</t>
  </si>
  <si>
    <t xml:space="preserve">Airbnb Bookings (Conversions)</t>
  </si>
  <si>
    <t xml:space="preserve">Airbnb Revenue ($)</t>
  </si>
  <si>
    <t xml:space="preserve">Greenside Villas — Digital Marketing Tracker &amp; Dashboard</t>
  </si>
  <si>
    <t xml:space="preserve">Cleaned, restructured, and rebuilt as an interactive workbook — ready to upload to Google Sheets.</t>
  </si>
  <si>
    <t xml:space="preserve">★ FULL AUTOMATION — HOW IT WORKS (read this first) ★</t>
  </si>
  <si>
    <t xml:space="preserve">Every tab is pre-built through 31 Dec 2027 (157 weeks). The pale-yellow rows on Facebook, Instagram, Website, and Airbnb are already dated and already wired into every formula in the workbook — you just type your weekly numbers into the next yellow row. The moment you do, it flows automatically into: the 'Summary' tab, the 'Monthly Summary' pivot-style rollup, every KPI card on the Dashboard, and every chart (Website trend, Airbnb trend, Facebook vs Instagram trend, the funnel, and the channel-selector chart). Nothing needs to be rebuilt, re-pointed, or copied — it is all live formulas referencing full columns and a shared weekly row layout across every tab.</t>
  </si>
  <si>
    <t xml:space="preserve">- Why this works: Facebook, Instagram, Website, and Airbnb all use the exact same list of week-starting dates in the exact same row order, so row 45 is 'the same week' on every tab. Monthly Summary and the KPI cards use whole-column SUMIFS/SUM formulas (e.g. Facebook!$F:$F), which already include any new number you add, anywhere in that column, with zero extra setup.</t>
  </si>
  <si>
    <t xml:space="preserve">- If you ever need weeks beyond Dec 2027: select the last filled row on a tab, then drag its fill handle (bottom-right corner of the selection) down a few rows, or copy that row and paste it below — the date and all formulas continue automatically. Do this on Facebook, Instagram, Website, and Airbnb together to keep every tab's row-alignment intact.</t>
  </si>
  <si>
    <t xml:space="preserve">HOW TO USE THIS WORKBOOK</t>
  </si>
  <si>
    <t xml:space="preserve">1. Start on the 'Dashboard' tab — it has KPI cards, trend charts, and a channel selector (cell C70) you can change to update the chart instantly.</t>
  </si>
  <si>
    <t xml:space="preserve">2. Each channel (Facebook, Instagram, Website, Airbnb) has its own cleaned data tab — one row per week, with future weeks already built and pale-yellow so you know where to type next.</t>
  </si>
  <si>
    <t xml:space="preserve">3. 'Monthly Summary' is a formula-driven pivot-style rollup: every number recalculates automatically as you fill in the raw data tabs.</t>
  </si>
  <si>
    <t xml:space="preserve">4. 'Google Business' and 'Reviews' tabs are set up and ready, but no data had been logged in the original file — see Data Quality Notes below.</t>
  </si>
  <si>
    <t xml:space="preserve">5. 'Tourism Context' holds Tanzania national arrival figures for benchmarking Greenside's performance against the wider market.</t>
  </si>
  <si>
    <t xml:space="preserve">6. 'Summary' is a brand-new automatic weekly roll-up — it replaces the old broken/blank 'Summary' tab and pulls Facebook, Instagram, Website, and Airbnb data into one table with zero manual entry.</t>
  </si>
  <si>
    <t xml:space="preserve">ADDING SLICERS (FILTER BUTTONS)</t>
  </si>
  <si>
    <t xml:space="preserve">- Every data tab (Facebook, Instagram, Website, Airbnb, Summary, Monthly Summary) is already a named Excel Table with filter-arrow dropdowns built in — click any header arrow to filter or sort that column instantly, and new rows you add right below a table are automatically absorbed into it.</t>
  </si>
  <si>
    <t xml:space="preserve">- For true clickable Slicer buttons: click any cell inside a table, then in Excel go to Table Design &gt; Insert Slicer (or Insert &gt; Slicer), tick the column(s) you want (e.g. Month, Listing Name), and click OK — a floating slicer button box appears that filters the table with one click.</t>
  </si>
  <si>
    <t xml:space="preserve">- In Google Sheets, use Data &gt; Filter views &gt; Create new filter view (or the built-in filter dropdown on the Table headers, which carries over automatically on import) — this is Google's equivalent to an Excel Slicer.</t>
  </si>
  <si>
    <t xml:space="preserve">- The Dashboard's channel-selector dropdown already gives you one-click interactivity without needing a slicer at all.</t>
  </si>
  <si>
    <t xml:space="preserve">HOW TO MOVE THIS TO GOOGLE SHEETS</t>
  </si>
  <si>
    <t xml:space="preserve">1. Go to Google Drive &gt; New &gt; File upload, and upload this .xlsx file (or open it in Claude's file panel and download it first).</t>
  </si>
  <si>
    <t xml:space="preserve">2. Right-click the uploaded file in Drive &gt; Open with &gt; Google Sheets. Google converts the formulas, formatting, charts, and dropdown all automatically.</t>
  </si>
  <si>
    <t xml:space="preserve">3. Once open, use File &gt; Save as Google Sheets to get a native, shareable Sheet (File &gt; Share to collaborate with your team).</t>
  </si>
  <si>
    <t xml:space="preserve">4. The channel-selector dropdown (Data Validation) and all SUMIFS/INDEX/MATCH formulas are Google-Sheets-native and need no adjustment.</t>
  </si>
  <si>
    <t xml:space="preserve">DATA CLEANING DECISIONS MADE</t>
  </si>
  <si>
    <t xml:space="preserve">- Removed the broken/empty 'Summary', 'report', and 'Pivot Table 1 AIRBNB' tabs — they contained no usable data, only leftover formatting and a corrupted pivot cache.</t>
  </si>
  <si>
    <t xml:space="preserve">- Blank weekly cells within each channel's active reporting period were treated as 0 (no activity that week), not missing data.</t>
  </si>
  <si>
    <t xml:space="preserve">- Weeks after the last real entry were left completely blank (not 0) and shaded pale yellow, since they haven't happened/been reported yet — filling them in is what triggers the automation.</t>
  </si>
  <si>
    <t xml:space="preserve">- Facebook's real data runs through the week of 2026-07-10; Instagram, Website, and Airbnb run through 2026-06-19 — Facebook was the most current tab in the original file.</t>
  </si>
  <si>
    <t xml:space="preserve">- FLAGGED FOR REVIEW: Instagram week of 2025-01-31 shows Reach = 100,500 against Impressions of only 10,646 — reach is almost always &lt;= impressions, and every neighboring week is in the low hundreds. This looks like a data-entry error (an extra digit or misplaced decimal). It has been kept as-is but highlighted in orange on the Instagram tab — please verify against the original Meta Business Suite export.</t>
  </si>
  <si>
    <t xml:space="preserve">- The 'Google' (Google Business Profile) and 'Reviews' tabs contained column headers only — not a single week of data had been entered. Both are rebuilt as ready-to-fill templates rather than invented.</t>
  </si>
  <si>
    <t xml:space="preserve">WHAT'S ON THE DASHBOARD</t>
  </si>
  <si>
    <t xml:space="preserve">- KPI cards: Total Reach, Total Engagement, Website Visitors, Airbnb Bookings, Airbnb Revenue, Average Occupancy — all live SUM/AVERAGE formulas.</t>
  </si>
  <si>
    <t xml:space="preserve">- Awareness -&gt; Interest -&gt; Intent -&gt; Conversion funnel chart, built from combined channel reach, website clicks, inquiries, and bookings.</t>
  </si>
  <si>
    <t xml:space="preserve">- Facebook vs Instagram reach trend, Website traffic trend, and Airbnb bookings &amp; revenue trend — every chart already spans through Dec 2027, so new data appears the moment you enter it.</t>
  </si>
  <si>
    <t xml:space="preserve">- An interactive channel selector (dropdown) that redraws a trend chart for whichever channel you pick.</t>
  </si>
  <si>
    <t xml:space="preserve">GREENSIDE VILLAS — EXCEL ANALYTICS (Growth, Engagement &amp; Funnel Modeling)</t>
  </si>
  <si>
    <t xml:space="preserve">Built on top of the live Monthly Summary tab — all figures below are formulas, so they update automatically as new weekly data is entered.</t>
  </si>
  <si>
    <t xml:space="preserve">Month</t>
  </si>
  <si>
    <t xml:space="preserve">FB Reach
MoM %</t>
  </si>
  <si>
    <t xml:space="preserve">IG Reach
MoM %</t>
  </si>
  <si>
    <t xml:space="preserve">Website
MoM %</t>
  </si>
  <si>
    <t xml:space="preserve">FB Engagement
Rate %</t>
  </si>
  <si>
    <t xml:space="preserve">IG Engagement
Rate %</t>
  </si>
  <si>
    <t xml:space="preserve">Airbnb Bookings</t>
  </si>
  <si>
    <t xml:space="preserve">Booking Conv.
Rate %</t>
  </si>
  <si>
    <t xml:space="preserve">Revenue /
Booking ($)</t>
  </si>
  <si>
    <t xml:space="preserve">Occupancy %</t>
  </si>
  <si>
    <t xml:space="preserve">Reach-to-Booking
Efficiency</t>
  </si>
  <si>
    <t xml:space="preserve">PERFORMANCE HIGHLIGHTS (auto-calculated)</t>
  </si>
  <si>
    <t xml:space="preserve">Best Revenue Month</t>
  </si>
  <si>
    <t xml:space="preserve">Best Revenue Value</t>
  </si>
  <si>
    <t xml:space="preserve">Best FB Reach Month</t>
  </si>
  <si>
    <t xml:space="preserve">Best FB Reach Value</t>
  </si>
  <si>
    <t xml:space="preserve">Total Airbnb Bookings (all time)</t>
  </si>
  <si>
    <t xml:space="preserve">Total Airbnb Revenue (all time)</t>
  </si>
  <si>
    <t xml:space="preserve">Avg. Booking Conversion Rate</t>
  </si>
  <si>
    <t xml:space="preserve">Avg. FB Engagement Rate</t>
  </si>
  <si>
    <t xml:space="preserve">Avg. IG Engagement Rate</t>
  </si>
  <si>
    <t xml:space="preserve">Avg. Revenue per Booking</t>
  </si>
  <si>
    <t xml:space="preserve">TRENDS</t>
  </si>
  <si>
    <t xml:space="preserve">Facebook — Weekly Tracking (cleaned, with 77 future weeks pre-built and ready to fill — just type new numbers in, everything downstream updates automatically)</t>
  </si>
  <si>
    <t xml:space="preserve">Date</t>
  </si>
  <si>
    <t xml:space="preserve">Followers/Visitors</t>
  </si>
  <si>
    <t xml:space="preserve">New Followers/Visitors</t>
  </si>
  <si>
    <t xml:space="preserve">Posts/Updates</t>
  </si>
  <si>
    <t xml:space="preserve">Engagements (Likes/Comments/Shares)</t>
  </si>
  <si>
    <t xml:space="preserve">Reach</t>
  </si>
  <si>
    <t xml:space="preserve">Impressions</t>
  </si>
  <si>
    <t xml:space="preserve">Clicks</t>
  </si>
  <si>
    <t xml:space="preserve">Conversions</t>
  </si>
  <si>
    <t xml:space="preserve">Facebook Reviews</t>
  </si>
  <si>
    <t xml:space="preserve">Notes/Observations</t>
  </si>
  <si>
    <t xml:space="preserve">we must boost our post to increase, reach and potential sales</t>
  </si>
  <si>
    <t xml:space="preserve">Instagram — Weekly Tracking (cleaned, with 80 future weeks pre-built and ready to fill — just type new numbers in, everything downstream updates automatically)</t>
  </si>
  <si>
    <t xml:space="preserve">IMPRESSION</t>
  </si>
  <si>
    <t xml:space="preserve">when we must boost our post to oncrease our reach and potential bookings</t>
  </si>
  <si>
    <t xml:space="preserve">Website — Weekly Tracking (cleaned, with 80 future weeks pre-built and ready to fill — just type new numbers in, everything downstream updates automatically)</t>
  </si>
  <si>
    <t xml:space="preserve">Visitors</t>
  </si>
  <si>
    <t xml:space="preserve">Page Views</t>
  </si>
  <si>
    <t xml:space="preserve">Bounce Rate%</t>
  </si>
  <si>
    <t xml:space="preserve">Average Session Duration(min)</t>
  </si>
  <si>
    <t xml:space="preserve">New Page Views</t>
  </si>
  <si>
    <t xml:space="preserve">Airbnb — Weekly Tracking (cleaned, with 80 future weeks pre-built and ready to fill — just type new numbers in, everything downstream updates automatically)</t>
  </si>
  <si>
    <t xml:space="preserve">Listing Name</t>
  </si>
  <si>
    <t xml:space="preserve">views</t>
  </si>
  <si>
    <t xml:space="preserve">inquires</t>
  </si>
  <si>
    <t xml:space="preserve">bookings</t>
  </si>
  <si>
    <t xml:space="preserve">Nights Booked</t>
  </si>
  <si>
    <t xml:space="preserve">Revenue</t>
  </si>
  <si>
    <t xml:space="preserve">occupancy rate(%)</t>
  </si>
  <si>
    <t xml:space="preserve">conversion Rate</t>
  </si>
  <si>
    <t xml:space="preserve">GREEN SIDE VILLAS</t>
  </si>
  <si>
    <t xml:space="preserve">Google Business Profile — Template (no historical data was logged in the source file)</t>
  </si>
  <si>
    <t xml:space="preserve">Business Profile Views</t>
  </si>
  <si>
    <t xml:space="preserve">Searches Showing Business Profile</t>
  </si>
  <si>
    <t xml:space="preserve">Chat Clicks from Business Profile</t>
  </si>
  <si>
    <t xml:space="preserve">Directions Requested</t>
  </si>
  <si>
    <t xml:space="preserve">Website Clicks</t>
  </si>
  <si>
    <t xml:space="preserve">Booking Clicks</t>
  </si>
  <si>
    <t xml:space="preserve">Google Reviews (new)</t>
  </si>
  <si>
    <t xml:space="preserve">Average Stars of New Reviews</t>
  </si>
  <si>
    <t xml:space="preserve">Reviews — Template (no reviews had been logged in the source file)</t>
  </si>
  <si>
    <t xml:space="preserve">Source (Facebook / Google / Feedback Form / Airbnb)</t>
  </si>
  <si>
    <t xml:space="preserve">Overall Stars</t>
  </si>
  <si>
    <t xml:space="preserve">Reviewer Comment</t>
  </si>
  <si>
    <t xml:space="preserve">Tanzania Tourist Arrivals — Market Context</t>
  </si>
  <si>
    <t xml:space="preserve">Year</t>
  </si>
  <si>
    <t xml:space="preserve">Tourist Arrivals (Million)</t>
  </si>
  <si>
    <t xml:space="preserve">Notes</t>
  </si>
  <si>
    <t xml:space="preserve">2016</t>
  </si>
  <si>
    <t xml:space="preserve">1.284</t>
  </si>
  <si>
    <t xml:space="preserve">2017</t>
  </si>
  <si>
    <t xml:space="preserve">1.327</t>
  </si>
  <si>
    <t xml:space="preserve">2018</t>
  </si>
  <si>
    <t xml:space="preserve">1.505</t>
  </si>
  <si>
    <t xml:space="preserve">2019</t>
  </si>
  <si>
    <t xml:space="preserve">1.527</t>
  </si>
  <si>
    <t xml:space="preserve">Pre-COVID peak</t>
  </si>
  <si>
    <t xml:space="preserve">2020</t>
  </si>
  <si>
    <t xml:space="preserve">0.62</t>
  </si>
  <si>
    <t xml:space="preserve">COVID impact</t>
  </si>
  <si>
    <t xml:space="preserve">2021</t>
  </si>
  <si>
    <t xml:space="preserve">0.923</t>
  </si>
  <si>
    <t xml:space="preserve">Partial recovery</t>
  </si>
  <si>
    <t xml:space="preserve">2022</t>
  </si>
  <si>
    <t xml:space="preserve">1.455</t>
  </si>
  <si>
    <t xml:space="preserve">Rebound</t>
  </si>
  <si>
    <t xml:space="preserve">2023</t>
  </si>
  <si>
    <t xml:space="preserve">1.808</t>
  </si>
  <si>
    <t xml:space="preserve">Surpassed 2019</t>
  </si>
  <si>
    <t xml:space="preserve">2024</t>
  </si>
  <si>
    <t xml:space="preserve">1.76</t>
  </si>
  <si>
    <t xml:space="preserve">Full-year estimate, based on Jan–Aug (~1.2m)</t>
  </si>
  <si>
    <t xml:space="preserve">2025</t>
  </si>
  <si>
    <t xml:space="preserve">2</t>
  </si>
  <si>
    <t xml:space="preserve">Planning assumption</t>
  </si>
  <si>
    <t xml:space="preserve">Monthly Summary — Pivot-Style Rollup (live formulas, recalculates automatically)</t>
  </si>
  <si>
    <t xml:space="preserve">FB Clicks</t>
  </si>
  <si>
    <t xml:space="preserve">FB Conversions</t>
  </si>
  <si>
    <t xml:space="preserve">IG Clicks</t>
  </si>
  <si>
    <t xml:space="preserve">IG Conversions</t>
  </si>
  <si>
    <t xml:space="preserve">Website Page Views</t>
  </si>
  <si>
    <t xml:space="preserve">Website Conversions</t>
  </si>
  <si>
    <t xml:space="preserve">Airbnb Avg Occupancy %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</si>
  <si>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</si>
  <si>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</si>
  <si>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</si>
  <si>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</si>
  <si>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</si>
  <si>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</si>
  <si>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</si>
  <si>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</si>
  <si>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</si>
  <si>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</si>
  <si>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</si>
  <si>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</si>
  <si>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</si>
  <si>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</si>
  <si>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</si>
  <si>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</si>
  <si>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</si>
  <si>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</si>
  <si>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</si>
  <si>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</si>
  <si>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</si>
  <si>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</si>
  <si>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</si>
  <si>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</si>
  <si>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</si>
  <si>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</si>
  <si>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</si>
  <si>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</si>
  <si>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</si>
  <si>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</si>
  <si>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</si>
  <si>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</si>
  <si>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</si>
  <si>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</si>
  <si>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</si>
  <si>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</si>
  <si>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TOTAL / AVERAGE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</si>
</sst>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0.0%"/>
    <numFmt numFmtId="168" formatCode="yyyy\-mm\-dd"/>
    <numFmt numFmtId="169" formatCode="General"/>
    <numFmt numFmtId="170" formatCode="\$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0"/>
      <color rgb="FF1F3864"/>
      <name val="Calibri"/>
      <family val="0"/>
      <charset val="1"/>
    </font>
    <font>
      <b val="true"/>
      <sz val="12"/>
      <color rgb="FF0F766E"/>
      <name val="Calibri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0"/>
      <color rgb="FF9C5700"/>
      <name val="Calibri"/>
      <family val="0"/>
      <charset val="1"/>
    </font>
    <font>
      <b val="true"/>
      <sz val="11"/>
      <color rgb="FF1F3864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0F766E"/>
        <bgColor rgb="FF2E75B6"/>
      </patternFill>
    </fill>
    <fill>
      <patternFill patternType="solid">
        <fgColor rgb="FFC9962C"/>
        <bgColor rgb="FFCC8F8E"/>
      </patternFill>
    </fill>
    <fill>
      <patternFill patternType="solid">
        <fgColor rgb="FFF2F2F2"/>
        <bgColor rgb="FFF2F6FA"/>
      </patternFill>
    </fill>
    <fill>
      <patternFill patternType="solid">
        <fgColor rgb="FF1F4E78"/>
        <bgColor rgb="FF1F3864"/>
      </patternFill>
    </fill>
    <fill>
      <patternFill patternType="solid">
        <fgColor rgb="FF2E75B6"/>
        <bgColor rgb="FF426FA6"/>
      </patternFill>
    </fill>
    <fill>
      <patternFill patternType="solid">
        <fgColor rgb="FFF2F6FA"/>
        <bgColor rgb="FFF2F2F2"/>
      </patternFill>
    </fill>
    <fill>
      <patternFill patternType="solid">
        <fgColor rgb="FFEAF1F8"/>
        <bgColor rgb="FFF2F2F2"/>
      </patternFill>
    </fill>
    <fill>
      <patternFill patternType="solid">
        <fgColor rgb="FFFFFDE7"/>
        <bgColor rgb="FFF9F9F9"/>
      </patternFill>
    </fill>
    <fill>
      <patternFill patternType="solid">
        <fgColor rgb="FFFCE4CC"/>
        <bgColor rgb="FFF2F2F2"/>
      </patternFill>
    </fill>
    <fill>
      <patternFill patternType="solid">
        <fgColor rgb="FFE2E8F0"/>
        <bgColor rgb="FFEAF1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CE4CC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B7B7B7"/>
      <rgbColor rgb="FF878787"/>
      <rgbColor rgb="FF8EA5CA"/>
      <rgbColor rgb="FFAA433F"/>
      <rgbColor rgb="FFFFFDE7"/>
      <rgbColor rgb="FFEAF1F8"/>
      <rgbColor rgb="FF660066"/>
      <rgbColor rgb="FFCC8F8E"/>
      <rgbColor rgb="FF426FA6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2E8F0"/>
      <rgbColor rgb="FFF2F2F2"/>
      <rgbColor rgb="FFF9F9F9"/>
      <rgbColor rgb="FFB3B3B3"/>
      <rgbColor rgb="FFF2F6FA"/>
      <rgbColor rgb="FFCC99FF"/>
      <rgbColor rgb="FFFCE4CC"/>
      <rgbColor rgb="FF2E75B6"/>
      <rgbColor rgb="FF33CCCC"/>
      <rgbColor rgb="FFB3C992"/>
      <rgbColor rgb="FFFFCC00"/>
      <rgbColor rgb="FFC9962C"/>
      <rgbColor rgb="FFC0504D"/>
      <rgbColor rgb="FF666666"/>
      <rgbColor rgb="FF87A44B"/>
      <rgbColor rgb="FF1F3864"/>
      <rgbColor rgb="FF4A7EBB"/>
      <rgbColor rgb="FF003300"/>
      <rgbColor rgb="FF595959"/>
      <rgbColor rgb="FF9C5700"/>
      <rgbColor rgb="FFBE4B48"/>
      <rgbColor rgb="FF1F4E78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Marketing Funnel: Awareness -&gt; Interest -&gt; Intent -&gt; Conversion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Dashboard!C13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Dashboard!$B$14:$B$17</c:f>
              <c:strCache>
                <c:ptCount val="4"/>
                <c:pt idx="0">
                  <c:v>Awareness (Reach)</c:v>
                </c:pt>
                <c:pt idx="1">
                  <c:v>Interest (Engagement)</c:v>
                </c:pt>
                <c:pt idx="2">
                  <c:v>Intent (Website Visitors + Airbnb Views)</c:v>
                </c:pt>
                <c:pt idx="3">
                  <c:v>Conversion (Airbnb Bookings)</c:v>
                </c:pt>
              </c:strCache>
            </c:strRef>
          </c:cat>
          <c:val>
            <c:numRef>
              <c:f>Dashboard!$C$14:$C$17</c:f>
              <c:numCache>
                <c:formatCode>#,##0</c:formatCode>
                <c:ptCount val="4"/>
                <c:pt idx="0">
                  <c:v>128690</c:v>
                </c:pt>
                <c:pt idx="1">
                  <c:v>5091</c:v>
                </c:pt>
                <c:pt idx="2">
                  <c:v>167972</c:v>
                </c:pt>
                <c:pt idx="3">
                  <c:v>9</c:v>
                </c:pt>
              </c:numCache>
            </c:numRef>
          </c:val>
        </c:ser>
        <c:gapWidth val="150"/>
        <c:overlap val="0"/>
        <c:axId val="73675527"/>
        <c:axId val="97043087"/>
      </c:barChart>
      <c:catAx>
        <c:axId val="7367552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43087"/>
        <c:crosses val="autoZero"/>
        <c:auto val="1"/>
        <c:lblAlgn val="ctr"/>
        <c:lblOffset val="100"/>
        <c:noMultiLvlLbl val="0"/>
      </c:catAx>
      <c:valAx>
        <c:axId val="97043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755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Website Visitors &amp; Page Views (weekly)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Website!B2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Website!$A$3:$A$159</c:f>
              <c:strCache>
                <c:ptCount val="157"/>
                <c:pt idx="0">
                  <c:v>2025-01-03</c:v>
                </c:pt>
                <c:pt idx="1">
                  <c:v>2025-01-10</c:v>
                </c:pt>
                <c:pt idx="2">
                  <c:v>2025-01-17</c:v>
                </c:pt>
                <c:pt idx="3">
                  <c:v>2025-01-24</c:v>
                </c:pt>
                <c:pt idx="4">
                  <c:v>2025-01-31</c:v>
                </c:pt>
                <c:pt idx="5">
                  <c:v>2025-02-07</c:v>
                </c:pt>
                <c:pt idx="6">
                  <c:v>2025-02-14</c:v>
                </c:pt>
                <c:pt idx="7">
                  <c:v>2025-02-21</c:v>
                </c:pt>
                <c:pt idx="8">
                  <c:v>2025-02-28</c:v>
                </c:pt>
                <c:pt idx="9">
                  <c:v>2025-03-07</c:v>
                </c:pt>
                <c:pt idx="10">
                  <c:v>2025-03-14</c:v>
                </c:pt>
                <c:pt idx="11">
                  <c:v>2025-03-21</c:v>
                </c:pt>
                <c:pt idx="12">
                  <c:v>2025-03-28</c:v>
                </c:pt>
                <c:pt idx="13">
                  <c:v>2025-04-04</c:v>
                </c:pt>
                <c:pt idx="14">
                  <c:v>2025-04-11</c:v>
                </c:pt>
                <c:pt idx="15">
                  <c:v>2025-04-18</c:v>
                </c:pt>
                <c:pt idx="16">
                  <c:v>2025-04-25</c:v>
                </c:pt>
                <c:pt idx="17">
                  <c:v>2025-05-02</c:v>
                </c:pt>
                <c:pt idx="18">
                  <c:v>2025-05-09</c:v>
                </c:pt>
                <c:pt idx="19">
                  <c:v>2025-05-16</c:v>
                </c:pt>
                <c:pt idx="20">
                  <c:v>2025-05-23</c:v>
                </c:pt>
                <c:pt idx="21">
                  <c:v>2025-05-30</c:v>
                </c:pt>
                <c:pt idx="22">
                  <c:v>2025-06-06</c:v>
                </c:pt>
                <c:pt idx="23">
                  <c:v>2025-06-13</c:v>
                </c:pt>
                <c:pt idx="24">
                  <c:v>2025-06-20</c:v>
                </c:pt>
                <c:pt idx="25">
                  <c:v>2025-06-27</c:v>
                </c:pt>
                <c:pt idx="26">
                  <c:v>2025-07-04</c:v>
                </c:pt>
                <c:pt idx="27">
                  <c:v>2025-07-11</c:v>
                </c:pt>
                <c:pt idx="28">
                  <c:v>2025-07-18</c:v>
                </c:pt>
                <c:pt idx="29">
                  <c:v>2025-07-25</c:v>
                </c:pt>
                <c:pt idx="30">
                  <c:v>2025-08-01</c:v>
                </c:pt>
                <c:pt idx="31">
                  <c:v>2025-08-08</c:v>
                </c:pt>
                <c:pt idx="32">
                  <c:v>2025-08-15</c:v>
                </c:pt>
                <c:pt idx="33">
                  <c:v>2025-08-22</c:v>
                </c:pt>
                <c:pt idx="34">
                  <c:v>2025-08-29</c:v>
                </c:pt>
                <c:pt idx="35">
                  <c:v>2025-09-05</c:v>
                </c:pt>
                <c:pt idx="36">
                  <c:v>2025-09-12</c:v>
                </c:pt>
                <c:pt idx="37">
                  <c:v>2025-09-19</c:v>
                </c:pt>
                <c:pt idx="38">
                  <c:v>2025-09-26</c:v>
                </c:pt>
                <c:pt idx="39">
                  <c:v>2025-10-03</c:v>
                </c:pt>
                <c:pt idx="40">
                  <c:v>2025-10-10</c:v>
                </c:pt>
                <c:pt idx="41">
                  <c:v>2025-10-17</c:v>
                </c:pt>
                <c:pt idx="42">
                  <c:v>2025-10-24</c:v>
                </c:pt>
                <c:pt idx="43">
                  <c:v>2025-10-31</c:v>
                </c:pt>
                <c:pt idx="44">
                  <c:v>2025-11-07</c:v>
                </c:pt>
                <c:pt idx="45">
                  <c:v>2025-11-14</c:v>
                </c:pt>
                <c:pt idx="46">
                  <c:v>2025-11-21</c:v>
                </c:pt>
                <c:pt idx="47">
                  <c:v>2025-11-28</c:v>
                </c:pt>
                <c:pt idx="48">
                  <c:v>2025-12-05</c:v>
                </c:pt>
                <c:pt idx="49">
                  <c:v>2025-12-12</c:v>
                </c:pt>
                <c:pt idx="50">
                  <c:v>2025-12-19</c:v>
                </c:pt>
                <c:pt idx="51">
                  <c:v>2025-12-26</c:v>
                </c:pt>
                <c:pt idx="52">
                  <c:v>2026-01-02</c:v>
                </c:pt>
                <c:pt idx="53">
                  <c:v>2026-01-09</c:v>
                </c:pt>
                <c:pt idx="54">
                  <c:v>2026-01-16</c:v>
                </c:pt>
                <c:pt idx="55">
                  <c:v>2026-01-23</c:v>
                </c:pt>
                <c:pt idx="56">
                  <c:v>2026-01-30</c:v>
                </c:pt>
                <c:pt idx="57">
                  <c:v>2026-02-06</c:v>
                </c:pt>
                <c:pt idx="58">
                  <c:v>2026-02-13</c:v>
                </c:pt>
                <c:pt idx="59">
                  <c:v>2026-02-20</c:v>
                </c:pt>
                <c:pt idx="60">
                  <c:v>2026-02-27</c:v>
                </c:pt>
                <c:pt idx="61">
                  <c:v>2026-03-06</c:v>
                </c:pt>
                <c:pt idx="62">
                  <c:v>2026-03-13</c:v>
                </c:pt>
                <c:pt idx="63">
                  <c:v>2026-03-20</c:v>
                </c:pt>
                <c:pt idx="64">
                  <c:v>2026-03-27</c:v>
                </c:pt>
                <c:pt idx="65">
                  <c:v>2026-04-03</c:v>
                </c:pt>
                <c:pt idx="66">
                  <c:v>2026-04-10</c:v>
                </c:pt>
                <c:pt idx="67">
                  <c:v>2026-04-17</c:v>
                </c:pt>
                <c:pt idx="68">
                  <c:v>2026-04-24</c:v>
                </c:pt>
                <c:pt idx="69">
                  <c:v>2026-05-01</c:v>
                </c:pt>
                <c:pt idx="70">
                  <c:v>2026-05-08</c:v>
                </c:pt>
                <c:pt idx="71">
                  <c:v>2026-05-15</c:v>
                </c:pt>
                <c:pt idx="72">
                  <c:v>2026-05-22</c:v>
                </c:pt>
                <c:pt idx="73">
                  <c:v>2026-05-29</c:v>
                </c:pt>
                <c:pt idx="74">
                  <c:v>2026-06-05</c:v>
                </c:pt>
                <c:pt idx="75">
                  <c:v>2026-06-12</c:v>
                </c:pt>
                <c:pt idx="76">
                  <c:v>2026-06-19</c:v>
                </c:pt>
                <c:pt idx="77">
                  <c:v>2026-06-26</c:v>
                </c:pt>
                <c:pt idx="78">
                  <c:v>2026-07-03</c:v>
                </c:pt>
                <c:pt idx="79">
                  <c:v>2026-07-10</c:v>
                </c:pt>
                <c:pt idx="80">
                  <c:v>2026-07-17</c:v>
                </c:pt>
                <c:pt idx="81">
                  <c:v>2026-07-24</c:v>
                </c:pt>
                <c:pt idx="82">
                  <c:v>2026-07-31</c:v>
                </c:pt>
                <c:pt idx="83">
                  <c:v>2026-08-07</c:v>
                </c:pt>
                <c:pt idx="84">
                  <c:v>2026-08-14</c:v>
                </c:pt>
                <c:pt idx="85">
                  <c:v>2026-08-21</c:v>
                </c:pt>
                <c:pt idx="86">
                  <c:v>2026-08-28</c:v>
                </c:pt>
                <c:pt idx="87">
                  <c:v>2026-09-04</c:v>
                </c:pt>
                <c:pt idx="88">
                  <c:v>2026-09-11</c:v>
                </c:pt>
                <c:pt idx="89">
                  <c:v>2026-09-18</c:v>
                </c:pt>
                <c:pt idx="90">
                  <c:v>2026-09-25</c:v>
                </c:pt>
                <c:pt idx="91">
                  <c:v>2026-10-02</c:v>
                </c:pt>
                <c:pt idx="92">
                  <c:v>2026-10-09</c:v>
                </c:pt>
                <c:pt idx="93">
                  <c:v>2026-10-16</c:v>
                </c:pt>
                <c:pt idx="94">
                  <c:v>2026-10-23</c:v>
                </c:pt>
                <c:pt idx="95">
                  <c:v>2026-10-30</c:v>
                </c:pt>
                <c:pt idx="96">
                  <c:v>2026-11-06</c:v>
                </c:pt>
                <c:pt idx="97">
                  <c:v>2026-11-13</c:v>
                </c:pt>
                <c:pt idx="98">
                  <c:v>2026-11-20</c:v>
                </c:pt>
                <c:pt idx="99">
                  <c:v>2026-11-27</c:v>
                </c:pt>
                <c:pt idx="100">
                  <c:v>2026-12-04</c:v>
                </c:pt>
                <c:pt idx="101">
                  <c:v>2026-12-11</c:v>
                </c:pt>
                <c:pt idx="102">
                  <c:v>2026-12-18</c:v>
                </c:pt>
                <c:pt idx="103">
                  <c:v>2026-12-25</c:v>
                </c:pt>
                <c:pt idx="104">
                  <c:v>2027-01-01</c:v>
                </c:pt>
                <c:pt idx="105">
                  <c:v>2027-01-08</c:v>
                </c:pt>
                <c:pt idx="106">
                  <c:v>2027-01-15</c:v>
                </c:pt>
                <c:pt idx="107">
                  <c:v>2027-01-22</c:v>
                </c:pt>
                <c:pt idx="108">
                  <c:v>2027-01-29</c:v>
                </c:pt>
                <c:pt idx="109">
                  <c:v>2027-02-05</c:v>
                </c:pt>
                <c:pt idx="110">
                  <c:v>2027-02-12</c:v>
                </c:pt>
                <c:pt idx="111">
                  <c:v>2027-02-19</c:v>
                </c:pt>
                <c:pt idx="112">
                  <c:v>2027-02-26</c:v>
                </c:pt>
                <c:pt idx="113">
                  <c:v>2027-03-05</c:v>
                </c:pt>
                <c:pt idx="114">
                  <c:v>2027-03-12</c:v>
                </c:pt>
                <c:pt idx="115">
                  <c:v>2027-03-19</c:v>
                </c:pt>
                <c:pt idx="116">
                  <c:v>2027-03-26</c:v>
                </c:pt>
                <c:pt idx="117">
                  <c:v>2027-04-02</c:v>
                </c:pt>
                <c:pt idx="118">
                  <c:v>2027-04-09</c:v>
                </c:pt>
                <c:pt idx="119">
                  <c:v>2027-04-16</c:v>
                </c:pt>
                <c:pt idx="120">
                  <c:v>2027-04-23</c:v>
                </c:pt>
                <c:pt idx="121">
                  <c:v>2027-04-30</c:v>
                </c:pt>
                <c:pt idx="122">
                  <c:v>2027-05-07</c:v>
                </c:pt>
                <c:pt idx="123">
                  <c:v>2027-05-14</c:v>
                </c:pt>
                <c:pt idx="124">
                  <c:v>2027-05-21</c:v>
                </c:pt>
                <c:pt idx="125">
                  <c:v>2027-05-28</c:v>
                </c:pt>
                <c:pt idx="126">
                  <c:v>2027-06-04</c:v>
                </c:pt>
                <c:pt idx="127">
                  <c:v>2027-06-11</c:v>
                </c:pt>
                <c:pt idx="128">
                  <c:v>2027-06-18</c:v>
                </c:pt>
                <c:pt idx="129">
                  <c:v>2027-06-25</c:v>
                </c:pt>
                <c:pt idx="130">
                  <c:v>2027-07-02</c:v>
                </c:pt>
                <c:pt idx="131">
                  <c:v>2027-07-09</c:v>
                </c:pt>
                <c:pt idx="132">
                  <c:v>2027-07-16</c:v>
                </c:pt>
                <c:pt idx="133">
                  <c:v>2027-07-23</c:v>
                </c:pt>
                <c:pt idx="134">
                  <c:v>2027-07-30</c:v>
                </c:pt>
                <c:pt idx="135">
                  <c:v>2027-08-06</c:v>
                </c:pt>
                <c:pt idx="136">
                  <c:v>2027-08-13</c:v>
                </c:pt>
                <c:pt idx="137">
                  <c:v>2027-08-20</c:v>
                </c:pt>
                <c:pt idx="138">
                  <c:v>2027-08-27</c:v>
                </c:pt>
                <c:pt idx="139">
                  <c:v>2027-09-03</c:v>
                </c:pt>
                <c:pt idx="140">
                  <c:v>2027-09-10</c:v>
                </c:pt>
                <c:pt idx="141">
                  <c:v>2027-09-17</c:v>
                </c:pt>
                <c:pt idx="142">
                  <c:v>2027-09-24</c:v>
                </c:pt>
                <c:pt idx="143">
                  <c:v>2027-10-01</c:v>
                </c:pt>
                <c:pt idx="144">
                  <c:v>2027-10-08</c:v>
                </c:pt>
                <c:pt idx="145">
                  <c:v>2027-10-15</c:v>
                </c:pt>
                <c:pt idx="146">
                  <c:v>2027-10-22</c:v>
                </c:pt>
                <c:pt idx="147">
                  <c:v>2027-10-29</c:v>
                </c:pt>
                <c:pt idx="148">
                  <c:v>2027-11-05</c:v>
                </c:pt>
                <c:pt idx="149">
                  <c:v>2027-11-12</c:v>
                </c:pt>
                <c:pt idx="150">
                  <c:v>2027-11-19</c:v>
                </c:pt>
                <c:pt idx="151">
                  <c:v>2027-11-26</c:v>
                </c:pt>
                <c:pt idx="152">
                  <c:v>2027-12-03</c:v>
                </c:pt>
                <c:pt idx="153">
                  <c:v>2027-12-10</c:v>
                </c:pt>
                <c:pt idx="154">
                  <c:v>2027-12-17</c:v>
                </c:pt>
                <c:pt idx="155">
                  <c:v>2027-12-24</c:v>
                </c:pt>
                <c:pt idx="156">
                  <c:v>2027-12-31</c:v>
                </c:pt>
              </c:strCache>
            </c:strRef>
          </c:cat>
          <c:val>
            <c:numRef>
              <c:f>Website!$B$3:$B$159</c:f>
              <c:numCache>
                <c:formatCode>General</c:formatCode>
                <c:ptCount val="157"/>
                <c:pt idx="0">
                  <c:v>120</c:v>
                </c:pt>
                <c:pt idx="1">
                  <c:v>180</c:v>
                </c:pt>
                <c:pt idx="2">
                  <c:v>200</c:v>
                </c:pt>
                <c:pt idx="3">
                  <c:v>230</c:v>
                </c:pt>
                <c:pt idx="4">
                  <c:v>250</c:v>
                </c:pt>
                <c:pt idx="5">
                  <c:v>280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550</c:v>
                </c:pt>
                <c:pt idx="10">
                  <c:v>543</c:v>
                </c:pt>
                <c:pt idx="11">
                  <c:v>630</c:v>
                </c:pt>
                <c:pt idx="12">
                  <c:v>730</c:v>
                </c:pt>
                <c:pt idx="13">
                  <c:v>850</c:v>
                </c:pt>
                <c:pt idx="14">
                  <c:v>953</c:v>
                </c:pt>
                <c:pt idx="15">
                  <c:v>1233</c:v>
                </c:pt>
                <c:pt idx="16">
                  <c:v>1554</c:v>
                </c:pt>
                <c:pt idx="17">
                  <c:v>1667</c:v>
                </c:pt>
                <c:pt idx="18">
                  <c:v>1889</c:v>
                </c:pt>
                <c:pt idx="19">
                  <c:v>1997</c:v>
                </c:pt>
                <c:pt idx="20">
                  <c:v>2003</c:v>
                </c:pt>
                <c:pt idx="21">
                  <c:v>2258</c:v>
                </c:pt>
                <c:pt idx="22">
                  <c:v>2245</c:v>
                </c:pt>
                <c:pt idx="23">
                  <c:v>2237</c:v>
                </c:pt>
                <c:pt idx="24">
                  <c:v>2337</c:v>
                </c:pt>
                <c:pt idx="25">
                  <c:v>2376</c:v>
                </c:pt>
                <c:pt idx="26">
                  <c:v>2380</c:v>
                </c:pt>
                <c:pt idx="27">
                  <c:v>2390</c:v>
                </c:pt>
                <c:pt idx="28">
                  <c:v>2395</c:v>
                </c:pt>
                <c:pt idx="29">
                  <c:v>2457</c:v>
                </c:pt>
                <c:pt idx="30">
                  <c:v>2464</c:v>
                </c:pt>
                <c:pt idx="31">
                  <c:v>2498</c:v>
                </c:pt>
                <c:pt idx="32">
                  <c:v>2500</c:v>
                </c:pt>
                <c:pt idx="33">
                  <c:v>2530</c:v>
                </c:pt>
                <c:pt idx="34">
                  <c:v>2535</c:v>
                </c:pt>
                <c:pt idx="35">
                  <c:v>2543</c:v>
                </c:pt>
                <c:pt idx="36">
                  <c:v>2545</c:v>
                </c:pt>
                <c:pt idx="37">
                  <c:v>2562</c:v>
                </c:pt>
                <c:pt idx="38">
                  <c:v>2594</c:v>
                </c:pt>
                <c:pt idx="39">
                  <c:v>2597</c:v>
                </c:pt>
                <c:pt idx="40">
                  <c:v>2611</c:v>
                </c:pt>
                <c:pt idx="41">
                  <c:v>2620</c:v>
                </c:pt>
                <c:pt idx="42">
                  <c:v>2625</c:v>
                </c:pt>
                <c:pt idx="43">
                  <c:v>2627</c:v>
                </c:pt>
                <c:pt idx="44">
                  <c:v>2629</c:v>
                </c:pt>
                <c:pt idx="45">
                  <c:v>2551</c:v>
                </c:pt>
                <c:pt idx="46">
                  <c:v>2556</c:v>
                </c:pt>
                <c:pt idx="47">
                  <c:v>2561</c:v>
                </c:pt>
                <c:pt idx="48">
                  <c:v>2586</c:v>
                </c:pt>
                <c:pt idx="49">
                  <c:v>2612</c:v>
                </c:pt>
                <c:pt idx="50">
                  <c:v>2637</c:v>
                </c:pt>
                <c:pt idx="51">
                  <c:v>2663</c:v>
                </c:pt>
                <c:pt idx="52">
                  <c:v>2586</c:v>
                </c:pt>
                <c:pt idx="53">
                  <c:v>2612</c:v>
                </c:pt>
                <c:pt idx="54">
                  <c:v>2638</c:v>
                </c:pt>
                <c:pt idx="55">
                  <c:v>2664</c:v>
                </c:pt>
                <c:pt idx="56">
                  <c:v>2690</c:v>
                </c:pt>
                <c:pt idx="57">
                  <c:v>2716</c:v>
                </c:pt>
                <c:pt idx="58">
                  <c:v>2742</c:v>
                </c:pt>
                <c:pt idx="59">
                  <c:v>2768</c:v>
                </c:pt>
                <c:pt idx="60">
                  <c:v>2794</c:v>
                </c:pt>
                <c:pt idx="61">
                  <c:v>2820</c:v>
                </c:pt>
                <c:pt idx="62">
                  <c:v>2846</c:v>
                </c:pt>
                <c:pt idx="63">
                  <c:v>2872</c:v>
                </c:pt>
                <c:pt idx="64">
                  <c:v>2898</c:v>
                </c:pt>
                <c:pt idx="65">
                  <c:v>2924</c:v>
                </c:pt>
                <c:pt idx="66">
                  <c:v>2950</c:v>
                </c:pt>
                <c:pt idx="67">
                  <c:v>2976</c:v>
                </c:pt>
                <c:pt idx="68">
                  <c:v>3002</c:v>
                </c:pt>
                <c:pt idx="69">
                  <c:v>3028</c:v>
                </c:pt>
                <c:pt idx="70">
                  <c:v>3054</c:v>
                </c:pt>
                <c:pt idx="71">
                  <c:v>3080</c:v>
                </c:pt>
                <c:pt idx="72">
                  <c:v>3106</c:v>
                </c:pt>
                <c:pt idx="73">
                  <c:v>3132</c:v>
                </c:pt>
                <c:pt idx="74">
                  <c:v>3158</c:v>
                </c:pt>
                <c:pt idx="75">
                  <c:v>3184</c:v>
                </c:pt>
                <c:pt idx="76">
                  <c:v>3210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Website!C2</c:f>
              <c:strCache>
                <c:ptCount val="1"/>
                <c:pt idx="0">
                  <c:v>Page Views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Website!$A$3:$A$159</c:f>
              <c:strCache>
                <c:ptCount val="157"/>
                <c:pt idx="0">
                  <c:v>2025-01-03</c:v>
                </c:pt>
                <c:pt idx="1">
                  <c:v>2025-01-10</c:v>
                </c:pt>
                <c:pt idx="2">
                  <c:v>2025-01-17</c:v>
                </c:pt>
                <c:pt idx="3">
                  <c:v>2025-01-24</c:v>
                </c:pt>
                <c:pt idx="4">
                  <c:v>2025-01-31</c:v>
                </c:pt>
                <c:pt idx="5">
                  <c:v>2025-02-07</c:v>
                </c:pt>
                <c:pt idx="6">
                  <c:v>2025-02-14</c:v>
                </c:pt>
                <c:pt idx="7">
                  <c:v>2025-02-21</c:v>
                </c:pt>
                <c:pt idx="8">
                  <c:v>2025-02-28</c:v>
                </c:pt>
                <c:pt idx="9">
                  <c:v>2025-03-07</c:v>
                </c:pt>
                <c:pt idx="10">
                  <c:v>2025-03-14</c:v>
                </c:pt>
                <c:pt idx="11">
                  <c:v>2025-03-21</c:v>
                </c:pt>
                <c:pt idx="12">
                  <c:v>2025-03-28</c:v>
                </c:pt>
                <c:pt idx="13">
                  <c:v>2025-04-04</c:v>
                </c:pt>
                <c:pt idx="14">
                  <c:v>2025-04-11</c:v>
                </c:pt>
                <c:pt idx="15">
                  <c:v>2025-04-18</c:v>
                </c:pt>
                <c:pt idx="16">
                  <c:v>2025-04-25</c:v>
                </c:pt>
                <c:pt idx="17">
                  <c:v>2025-05-02</c:v>
                </c:pt>
                <c:pt idx="18">
                  <c:v>2025-05-09</c:v>
                </c:pt>
                <c:pt idx="19">
                  <c:v>2025-05-16</c:v>
                </c:pt>
                <c:pt idx="20">
                  <c:v>2025-05-23</c:v>
                </c:pt>
                <c:pt idx="21">
                  <c:v>2025-05-30</c:v>
                </c:pt>
                <c:pt idx="22">
                  <c:v>2025-06-06</c:v>
                </c:pt>
                <c:pt idx="23">
                  <c:v>2025-06-13</c:v>
                </c:pt>
                <c:pt idx="24">
                  <c:v>2025-06-20</c:v>
                </c:pt>
                <c:pt idx="25">
                  <c:v>2025-06-27</c:v>
                </c:pt>
                <c:pt idx="26">
                  <c:v>2025-07-04</c:v>
                </c:pt>
                <c:pt idx="27">
                  <c:v>2025-07-11</c:v>
                </c:pt>
                <c:pt idx="28">
                  <c:v>2025-07-18</c:v>
                </c:pt>
                <c:pt idx="29">
                  <c:v>2025-07-25</c:v>
                </c:pt>
                <c:pt idx="30">
                  <c:v>2025-08-01</c:v>
                </c:pt>
                <c:pt idx="31">
                  <c:v>2025-08-08</c:v>
                </c:pt>
                <c:pt idx="32">
                  <c:v>2025-08-15</c:v>
                </c:pt>
                <c:pt idx="33">
                  <c:v>2025-08-22</c:v>
                </c:pt>
                <c:pt idx="34">
                  <c:v>2025-08-29</c:v>
                </c:pt>
                <c:pt idx="35">
                  <c:v>2025-09-05</c:v>
                </c:pt>
                <c:pt idx="36">
                  <c:v>2025-09-12</c:v>
                </c:pt>
                <c:pt idx="37">
                  <c:v>2025-09-19</c:v>
                </c:pt>
                <c:pt idx="38">
                  <c:v>2025-09-26</c:v>
                </c:pt>
                <c:pt idx="39">
                  <c:v>2025-10-03</c:v>
                </c:pt>
                <c:pt idx="40">
                  <c:v>2025-10-10</c:v>
                </c:pt>
                <c:pt idx="41">
                  <c:v>2025-10-17</c:v>
                </c:pt>
                <c:pt idx="42">
                  <c:v>2025-10-24</c:v>
                </c:pt>
                <c:pt idx="43">
                  <c:v>2025-10-31</c:v>
                </c:pt>
                <c:pt idx="44">
                  <c:v>2025-11-07</c:v>
                </c:pt>
                <c:pt idx="45">
                  <c:v>2025-11-14</c:v>
                </c:pt>
                <c:pt idx="46">
                  <c:v>2025-11-21</c:v>
                </c:pt>
                <c:pt idx="47">
                  <c:v>2025-11-28</c:v>
                </c:pt>
                <c:pt idx="48">
                  <c:v>2025-12-05</c:v>
                </c:pt>
                <c:pt idx="49">
                  <c:v>2025-12-12</c:v>
                </c:pt>
                <c:pt idx="50">
                  <c:v>2025-12-19</c:v>
                </c:pt>
                <c:pt idx="51">
                  <c:v>2025-12-26</c:v>
                </c:pt>
                <c:pt idx="52">
                  <c:v>2026-01-02</c:v>
                </c:pt>
                <c:pt idx="53">
                  <c:v>2026-01-09</c:v>
                </c:pt>
                <c:pt idx="54">
                  <c:v>2026-01-16</c:v>
                </c:pt>
                <c:pt idx="55">
                  <c:v>2026-01-23</c:v>
                </c:pt>
                <c:pt idx="56">
                  <c:v>2026-01-30</c:v>
                </c:pt>
                <c:pt idx="57">
                  <c:v>2026-02-06</c:v>
                </c:pt>
                <c:pt idx="58">
                  <c:v>2026-02-13</c:v>
                </c:pt>
                <c:pt idx="59">
                  <c:v>2026-02-20</c:v>
                </c:pt>
                <c:pt idx="60">
                  <c:v>2026-02-27</c:v>
                </c:pt>
                <c:pt idx="61">
                  <c:v>2026-03-06</c:v>
                </c:pt>
                <c:pt idx="62">
                  <c:v>2026-03-13</c:v>
                </c:pt>
                <c:pt idx="63">
                  <c:v>2026-03-20</c:v>
                </c:pt>
                <c:pt idx="64">
                  <c:v>2026-03-27</c:v>
                </c:pt>
                <c:pt idx="65">
                  <c:v>2026-04-03</c:v>
                </c:pt>
                <c:pt idx="66">
                  <c:v>2026-04-10</c:v>
                </c:pt>
                <c:pt idx="67">
                  <c:v>2026-04-17</c:v>
                </c:pt>
                <c:pt idx="68">
                  <c:v>2026-04-24</c:v>
                </c:pt>
                <c:pt idx="69">
                  <c:v>2026-05-01</c:v>
                </c:pt>
                <c:pt idx="70">
                  <c:v>2026-05-08</c:v>
                </c:pt>
                <c:pt idx="71">
                  <c:v>2026-05-15</c:v>
                </c:pt>
                <c:pt idx="72">
                  <c:v>2026-05-22</c:v>
                </c:pt>
                <c:pt idx="73">
                  <c:v>2026-05-29</c:v>
                </c:pt>
                <c:pt idx="74">
                  <c:v>2026-06-05</c:v>
                </c:pt>
                <c:pt idx="75">
                  <c:v>2026-06-12</c:v>
                </c:pt>
                <c:pt idx="76">
                  <c:v>2026-06-19</c:v>
                </c:pt>
                <c:pt idx="77">
                  <c:v>2026-06-26</c:v>
                </c:pt>
                <c:pt idx="78">
                  <c:v>2026-07-03</c:v>
                </c:pt>
                <c:pt idx="79">
                  <c:v>2026-07-10</c:v>
                </c:pt>
                <c:pt idx="80">
                  <c:v>2026-07-17</c:v>
                </c:pt>
                <c:pt idx="81">
                  <c:v>2026-07-24</c:v>
                </c:pt>
                <c:pt idx="82">
                  <c:v>2026-07-31</c:v>
                </c:pt>
                <c:pt idx="83">
                  <c:v>2026-08-07</c:v>
                </c:pt>
                <c:pt idx="84">
                  <c:v>2026-08-14</c:v>
                </c:pt>
                <c:pt idx="85">
                  <c:v>2026-08-21</c:v>
                </c:pt>
                <c:pt idx="86">
                  <c:v>2026-08-28</c:v>
                </c:pt>
                <c:pt idx="87">
                  <c:v>2026-09-04</c:v>
                </c:pt>
                <c:pt idx="88">
                  <c:v>2026-09-11</c:v>
                </c:pt>
                <c:pt idx="89">
                  <c:v>2026-09-18</c:v>
                </c:pt>
                <c:pt idx="90">
                  <c:v>2026-09-25</c:v>
                </c:pt>
                <c:pt idx="91">
                  <c:v>2026-10-02</c:v>
                </c:pt>
                <c:pt idx="92">
                  <c:v>2026-10-09</c:v>
                </c:pt>
                <c:pt idx="93">
                  <c:v>2026-10-16</c:v>
                </c:pt>
                <c:pt idx="94">
                  <c:v>2026-10-23</c:v>
                </c:pt>
                <c:pt idx="95">
                  <c:v>2026-10-30</c:v>
                </c:pt>
                <c:pt idx="96">
                  <c:v>2026-11-06</c:v>
                </c:pt>
                <c:pt idx="97">
                  <c:v>2026-11-13</c:v>
                </c:pt>
                <c:pt idx="98">
                  <c:v>2026-11-20</c:v>
                </c:pt>
                <c:pt idx="99">
                  <c:v>2026-11-27</c:v>
                </c:pt>
                <c:pt idx="100">
                  <c:v>2026-12-04</c:v>
                </c:pt>
                <c:pt idx="101">
                  <c:v>2026-12-11</c:v>
                </c:pt>
                <c:pt idx="102">
                  <c:v>2026-12-18</c:v>
                </c:pt>
                <c:pt idx="103">
                  <c:v>2026-12-25</c:v>
                </c:pt>
                <c:pt idx="104">
                  <c:v>2027-01-01</c:v>
                </c:pt>
                <c:pt idx="105">
                  <c:v>2027-01-08</c:v>
                </c:pt>
                <c:pt idx="106">
                  <c:v>2027-01-15</c:v>
                </c:pt>
                <c:pt idx="107">
                  <c:v>2027-01-22</c:v>
                </c:pt>
                <c:pt idx="108">
                  <c:v>2027-01-29</c:v>
                </c:pt>
                <c:pt idx="109">
                  <c:v>2027-02-05</c:v>
                </c:pt>
                <c:pt idx="110">
                  <c:v>2027-02-12</c:v>
                </c:pt>
                <c:pt idx="111">
                  <c:v>2027-02-19</c:v>
                </c:pt>
                <c:pt idx="112">
                  <c:v>2027-02-26</c:v>
                </c:pt>
                <c:pt idx="113">
                  <c:v>2027-03-05</c:v>
                </c:pt>
                <c:pt idx="114">
                  <c:v>2027-03-12</c:v>
                </c:pt>
                <c:pt idx="115">
                  <c:v>2027-03-19</c:v>
                </c:pt>
                <c:pt idx="116">
                  <c:v>2027-03-26</c:v>
                </c:pt>
                <c:pt idx="117">
                  <c:v>2027-04-02</c:v>
                </c:pt>
                <c:pt idx="118">
                  <c:v>2027-04-09</c:v>
                </c:pt>
                <c:pt idx="119">
                  <c:v>2027-04-16</c:v>
                </c:pt>
                <c:pt idx="120">
                  <c:v>2027-04-23</c:v>
                </c:pt>
                <c:pt idx="121">
                  <c:v>2027-04-30</c:v>
                </c:pt>
                <c:pt idx="122">
                  <c:v>2027-05-07</c:v>
                </c:pt>
                <c:pt idx="123">
                  <c:v>2027-05-14</c:v>
                </c:pt>
                <c:pt idx="124">
                  <c:v>2027-05-21</c:v>
                </c:pt>
                <c:pt idx="125">
                  <c:v>2027-05-28</c:v>
                </c:pt>
                <c:pt idx="126">
                  <c:v>2027-06-04</c:v>
                </c:pt>
                <c:pt idx="127">
                  <c:v>2027-06-11</c:v>
                </c:pt>
                <c:pt idx="128">
                  <c:v>2027-06-18</c:v>
                </c:pt>
                <c:pt idx="129">
                  <c:v>2027-06-25</c:v>
                </c:pt>
                <c:pt idx="130">
                  <c:v>2027-07-02</c:v>
                </c:pt>
                <c:pt idx="131">
                  <c:v>2027-07-09</c:v>
                </c:pt>
                <c:pt idx="132">
                  <c:v>2027-07-16</c:v>
                </c:pt>
                <c:pt idx="133">
                  <c:v>2027-07-23</c:v>
                </c:pt>
                <c:pt idx="134">
                  <c:v>2027-07-30</c:v>
                </c:pt>
                <c:pt idx="135">
                  <c:v>2027-08-06</c:v>
                </c:pt>
                <c:pt idx="136">
                  <c:v>2027-08-13</c:v>
                </c:pt>
                <c:pt idx="137">
                  <c:v>2027-08-20</c:v>
                </c:pt>
                <c:pt idx="138">
                  <c:v>2027-08-27</c:v>
                </c:pt>
                <c:pt idx="139">
                  <c:v>2027-09-03</c:v>
                </c:pt>
                <c:pt idx="140">
                  <c:v>2027-09-10</c:v>
                </c:pt>
                <c:pt idx="141">
                  <c:v>2027-09-17</c:v>
                </c:pt>
                <c:pt idx="142">
                  <c:v>2027-09-24</c:v>
                </c:pt>
                <c:pt idx="143">
                  <c:v>2027-10-01</c:v>
                </c:pt>
                <c:pt idx="144">
                  <c:v>2027-10-08</c:v>
                </c:pt>
                <c:pt idx="145">
                  <c:v>2027-10-15</c:v>
                </c:pt>
                <c:pt idx="146">
                  <c:v>2027-10-22</c:v>
                </c:pt>
                <c:pt idx="147">
                  <c:v>2027-10-29</c:v>
                </c:pt>
                <c:pt idx="148">
                  <c:v>2027-11-05</c:v>
                </c:pt>
                <c:pt idx="149">
                  <c:v>2027-11-12</c:v>
                </c:pt>
                <c:pt idx="150">
                  <c:v>2027-11-19</c:v>
                </c:pt>
                <c:pt idx="151">
                  <c:v>2027-11-26</c:v>
                </c:pt>
                <c:pt idx="152">
                  <c:v>2027-12-03</c:v>
                </c:pt>
                <c:pt idx="153">
                  <c:v>2027-12-10</c:v>
                </c:pt>
                <c:pt idx="154">
                  <c:v>2027-12-17</c:v>
                </c:pt>
                <c:pt idx="155">
                  <c:v>2027-12-24</c:v>
                </c:pt>
                <c:pt idx="156">
                  <c:v>2027-12-31</c:v>
                </c:pt>
              </c:strCache>
            </c:strRef>
          </c:cat>
          <c:val>
            <c:numRef>
              <c:f>Website!$C$3:$C$159</c:f>
              <c:numCache>
                <c:formatCode>General</c:formatCode>
                <c:ptCount val="157"/>
                <c:pt idx="0">
                  <c:v>356</c:v>
                </c:pt>
                <c:pt idx="1">
                  <c:v>434</c:v>
                </c:pt>
                <c:pt idx="2">
                  <c:v>524</c:v>
                </c:pt>
                <c:pt idx="3">
                  <c:v>682</c:v>
                </c:pt>
                <c:pt idx="4">
                  <c:v>752</c:v>
                </c:pt>
                <c:pt idx="5">
                  <c:v>872</c:v>
                </c:pt>
                <c:pt idx="6">
                  <c:v>953</c:v>
                </c:pt>
                <c:pt idx="7">
                  <c:v>1103</c:v>
                </c:pt>
                <c:pt idx="8">
                  <c:v>1234</c:v>
                </c:pt>
                <c:pt idx="9">
                  <c:v>1572</c:v>
                </c:pt>
                <c:pt idx="10">
                  <c:v>1592</c:v>
                </c:pt>
                <c:pt idx="11">
                  <c:v>1782</c:v>
                </c:pt>
                <c:pt idx="12">
                  <c:v>1985</c:v>
                </c:pt>
                <c:pt idx="13">
                  <c:v>2009</c:v>
                </c:pt>
                <c:pt idx="14">
                  <c:v>2167</c:v>
                </c:pt>
                <c:pt idx="15">
                  <c:v>2345</c:v>
                </c:pt>
                <c:pt idx="16">
                  <c:v>2562</c:v>
                </c:pt>
                <c:pt idx="17">
                  <c:v>2764</c:v>
                </c:pt>
                <c:pt idx="18">
                  <c:v>2982</c:v>
                </c:pt>
                <c:pt idx="19">
                  <c:v>3162</c:v>
                </c:pt>
                <c:pt idx="20">
                  <c:v>3329</c:v>
                </c:pt>
                <c:pt idx="21">
                  <c:v>3578</c:v>
                </c:pt>
                <c:pt idx="22">
                  <c:v>3982</c:v>
                </c:pt>
                <c:pt idx="23">
                  <c:v>4212</c:v>
                </c:pt>
                <c:pt idx="24">
                  <c:v>4325</c:v>
                </c:pt>
                <c:pt idx="25">
                  <c:v>4525</c:v>
                </c:pt>
                <c:pt idx="26">
                  <c:v>4623</c:v>
                </c:pt>
                <c:pt idx="27">
                  <c:v>4725</c:v>
                </c:pt>
                <c:pt idx="28">
                  <c:v>4976</c:v>
                </c:pt>
                <c:pt idx="29">
                  <c:v>5054</c:v>
                </c:pt>
                <c:pt idx="30">
                  <c:v>5334</c:v>
                </c:pt>
                <c:pt idx="31">
                  <c:v>5450</c:v>
                </c:pt>
                <c:pt idx="32">
                  <c:v>5530</c:v>
                </c:pt>
                <c:pt idx="33">
                  <c:v>5574</c:v>
                </c:pt>
                <c:pt idx="34">
                  <c:v>5584</c:v>
                </c:pt>
                <c:pt idx="35">
                  <c:v>5587</c:v>
                </c:pt>
                <c:pt idx="36">
                  <c:v>5590</c:v>
                </c:pt>
                <c:pt idx="37">
                  <c:v>5625</c:v>
                </c:pt>
                <c:pt idx="38">
                  <c:v>5696</c:v>
                </c:pt>
                <c:pt idx="39">
                  <c:v>5711</c:v>
                </c:pt>
                <c:pt idx="40">
                  <c:v>5720</c:v>
                </c:pt>
                <c:pt idx="41">
                  <c:v>5725</c:v>
                </c:pt>
                <c:pt idx="42">
                  <c:v>5729</c:v>
                </c:pt>
                <c:pt idx="43">
                  <c:v>5732</c:v>
                </c:pt>
                <c:pt idx="44">
                  <c:v>5734</c:v>
                </c:pt>
                <c:pt idx="45">
                  <c:v>5744</c:v>
                </c:pt>
                <c:pt idx="46">
                  <c:v>5793</c:v>
                </c:pt>
                <c:pt idx="47">
                  <c:v>5796</c:v>
                </c:pt>
                <c:pt idx="48">
                  <c:v>5866</c:v>
                </c:pt>
                <c:pt idx="49">
                  <c:v>5936</c:v>
                </c:pt>
                <c:pt idx="50">
                  <c:v>6006</c:v>
                </c:pt>
                <c:pt idx="51">
                  <c:v>6076</c:v>
                </c:pt>
                <c:pt idx="52">
                  <c:v>6146</c:v>
                </c:pt>
                <c:pt idx="53">
                  <c:v>6216</c:v>
                </c:pt>
                <c:pt idx="54">
                  <c:v>6286</c:v>
                </c:pt>
                <c:pt idx="55">
                  <c:v>6356</c:v>
                </c:pt>
                <c:pt idx="56">
                  <c:v>6426</c:v>
                </c:pt>
                <c:pt idx="57">
                  <c:v>6496</c:v>
                </c:pt>
                <c:pt idx="58">
                  <c:v>6566</c:v>
                </c:pt>
                <c:pt idx="59">
                  <c:v>6636</c:v>
                </c:pt>
                <c:pt idx="60">
                  <c:v>6706</c:v>
                </c:pt>
                <c:pt idx="61">
                  <c:v>6776</c:v>
                </c:pt>
                <c:pt idx="62">
                  <c:v>6846</c:v>
                </c:pt>
                <c:pt idx="63">
                  <c:v>6916</c:v>
                </c:pt>
                <c:pt idx="64">
                  <c:v>6986</c:v>
                </c:pt>
                <c:pt idx="65">
                  <c:v>7056</c:v>
                </c:pt>
                <c:pt idx="66">
                  <c:v>7126</c:v>
                </c:pt>
                <c:pt idx="67">
                  <c:v>7196</c:v>
                </c:pt>
                <c:pt idx="68">
                  <c:v>7266</c:v>
                </c:pt>
                <c:pt idx="69">
                  <c:v>7336</c:v>
                </c:pt>
                <c:pt idx="70">
                  <c:v>7406</c:v>
                </c:pt>
                <c:pt idx="71">
                  <c:v>7476</c:v>
                </c:pt>
                <c:pt idx="72">
                  <c:v>7546</c:v>
                </c:pt>
                <c:pt idx="73">
                  <c:v>7616</c:v>
                </c:pt>
                <c:pt idx="74">
                  <c:v>7686</c:v>
                </c:pt>
                <c:pt idx="75">
                  <c:v>7756</c:v>
                </c:pt>
                <c:pt idx="76">
                  <c:v>7826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649376"/>
        <c:axId val="14103220"/>
      </c:lineChart>
      <c:catAx>
        <c:axId val="276493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03220"/>
        <c:crosses val="autoZero"/>
        <c:auto val="1"/>
        <c:lblAlgn val="ctr"/>
        <c:lblOffset val="100"/>
        <c:noMultiLvlLbl val="0"/>
      </c:catAx>
      <c:valAx>
        <c:axId val="14103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493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Airbnb Bookings &amp; Revenue (weekly)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Airbnb!E2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Airbnb!$A$3:$A$159</c:f>
              <c:strCache>
                <c:ptCount val="157"/>
                <c:pt idx="0">
                  <c:v>2025-01-03</c:v>
                </c:pt>
                <c:pt idx="1">
                  <c:v>2025-01-10</c:v>
                </c:pt>
                <c:pt idx="2">
                  <c:v>2025-01-17</c:v>
                </c:pt>
                <c:pt idx="3">
                  <c:v>2025-01-24</c:v>
                </c:pt>
                <c:pt idx="4">
                  <c:v>2025-01-31</c:v>
                </c:pt>
                <c:pt idx="5">
                  <c:v>2025-02-07</c:v>
                </c:pt>
                <c:pt idx="6">
                  <c:v>2025-02-14</c:v>
                </c:pt>
                <c:pt idx="7">
                  <c:v>2025-02-21</c:v>
                </c:pt>
                <c:pt idx="8">
                  <c:v>2025-02-28</c:v>
                </c:pt>
                <c:pt idx="9">
                  <c:v>2025-03-07</c:v>
                </c:pt>
                <c:pt idx="10">
                  <c:v>2025-03-14</c:v>
                </c:pt>
                <c:pt idx="11">
                  <c:v>2025-03-21</c:v>
                </c:pt>
                <c:pt idx="12">
                  <c:v>2025-03-28</c:v>
                </c:pt>
                <c:pt idx="13">
                  <c:v>2025-04-04</c:v>
                </c:pt>
                <c:pt idx="14">
                  <c:v>2025-04-11</c:v>
                </c:pt>
                <c:pt idx="15">
                  <c:v>2025-04-18</c:v>
                </c:pt>
                <c:pt idx="16">
                  <c:v>2025-04-25</c:v>
                </c:pt>
                <c:pt idx="17">
                  <c:v>2025-05-02</c:v>
                </c:pt>
                <c:pt idx="18">
                  <c:v>2025-05-09</c:v>
                </c:pt>
                <c:pt idx="19">
                  <c:v>2025-05-16</c:v>
                </c:pt>
                <c:pt idx="20">
                  <c:v>2025-05-23</c:v>
                </c:pt>
                <c:pt idx="21">
                  <c:v>2025-05-30</c:v>
                </c:pt>
                <c:pt idx="22">
                  <c:v>2025-06-06</c:v>
                </c:pt>
                <c:pt idx="23">
                  <c:v>2025-06-13</c:v>
                </c:pt>
                <c:pt idx="24">
                  <c:v>2025-06-20</c:v>
                </c:pt>
                <c:pt idx="25">
                  <c:v>2025-06-27</c:v>
                </c:pt>
                <c:pt idx="26">
                  <c:v>2025-07-04</c:v>
                </c:pt>
                <c:pt idx="27">
                  <c:v>2025-07-11</c:v>
                </c:pt>
                <c:pt idx="28">
                  <c:v>2025-07-18</c:v>
                </c:pt>
                <c:pt idx="29">
                  <c:v>2025-07-25</c:v>
                </c:pt>
                <c:pt idx="30">
                  <c:v>2025-08-01</c:v>
                </c:pt>
                <c:pt idx="31">
                  <c:v>2025-08-08</c:v>
                </c:pt>
                <c:pt idx="32">
                  <c:v>2025-08-15</c:v>
                </c:pt>
                <c:pt idx="33">
                  <c:v>2025-08-22</c:v>
                </c:pt>
                <c:pt idx="34">
                  <c:v>2025-08-29</c:v>
                </c:pt>
                <c:pt idx="35">
                  <c:v>2025-09-05</c:v>
                </c:pt>
                <c:pt idx="36">
                  <c:v>2025-09-12</c:v>
                </c:pt>
                <c:pt idx="37">
                  <c:v>2025-09-19</c:v>
                </c:pt>
                <c:pt idx="38">
                  <c:v>2025-09-26</c:v>
                </c:pt>
                <c:pt idx="39">
                  <c:v>2025-10-03</c:v>
                </c:pt>
                <c:pt idx="40">
                  <c:v>2025-10-10</c:v>
                </c:pt>
                <c:pt idx="41">
                  <c:v>2025-10-17</c:v>
                </c:pt>
                <c:pt idx="42">
                  <c:v>2025-10-24</c:v>
                </c:pt>
                <c:pt idx="43">
                  <c:v>2025-10-31</c:v>
                </c:pt>
                <c:pt idx="44">
                  <c:v>2025-11-07</c:v>
                </c:pt>
                <c:pt idx="45">
                  <c:v>2025-11-14</c:v>
                </c:pt>
                <c:pt idx="46">
                  <c:v>2025-11-21</c:v>
                </c:pt>
                <c:pt idx="47">
                  <c:v>2025-11-28</c:v>
                </c:pt>
                <c:pt idx="48">
                  <c:v>2025-12-05</c:v>
                </c:pt>
                <c:pt idx="49">
                  <c:v>2025-12-12</c:v>
                </c:pt>
                <c:pt idx="50">
                  <c:v>2025-12-19</c:v>
                </c:pt>
                <c:pt idx="51">
                  <c:v>2025-12-26</c:v>
                </c:pt>
                <c:pt idx="52">
                  <c:v>2026-01-02</c:v>
                </c:pt>
                <c:pt idx="53">
                  <c:v>2026-01-09</c:v>
                </c:pt>
                <c:pt idx="54">
                  <c:v>2026-01-16</c:v>
                </c:pt>
                <c:pt idx="55">
                  <c:v>2026-01-23</c:v>
                </c:pt>
                <c:pt idx="56">
                  <c:v>2026-01-30</c:v>
                </c:pt>
                <c:pt idx="57">
                  <c:v>2026-02-06</c:v>
                </c:pt>
                <c:pt idx="58">
                  <c:v>2026-02-13</c:v>
                </c:pt>
                <c:pt idx="59">
                  <c:v>2026-02-20</c:v>
                </c:pt>
                <c:pt idx="60">
                  <c:v>2026-02-27</c:v>
                </c:pt>
                <c:pt idx="61">
                  <c:v>2026-03-06</c:v>
                </c:pt>
                <c:pt idx="62">
                  <c:v>2026-03-13</c:v>
                </c:pt>
                <c:pt idx="63">
                  <c:v>2026-03-20</c:v>
                </c:pt>
                <c:pt idx="64">
                  <c:v>2026-03-27</c:v>
                </c:pt>
                <c:pt idx="65">
                  <c:v>2026-04-03</c:v>
                </c:pt>
                <c:pt idx="66">
                  <c:v>2026-04-10</c:v>
                </c:pt>
                <c:pt idx="67">
                  <c:v>2026-04-17</c:v>
                </c:pt>
                <c:pt idx="68">
                  <c:v>2026-04-24</c:v>
                </c:pt>
                <c:pt idx="69">
                  <c:v>2026-05-01</c:v>
                </c:pt>
                <c:pt idx="70">
                  <c:v>2026-05-08</c:v>
                </c:pt>
                <c:pt idx="71">
                  <c:v>2026-05-15</c:v>
                </c:pt>
                <c:pt idx="72">
                  <c:v>2026-05-22</c:v>
                </c:pt>
                <c:pt idx="73">
                  <c:v>2026-05-29</c:v>
                </c:pt>
                <c:pt idx="74">
                  <c:v>2026-06-05</c:v>
                </c:pt>
                <c:pt idx="75">
                  <c:v>2026-06-12</c:v>
                </c:pt>
                <c:pt idx="76">
                  <c:v>2026-06-19</c:v>
                </c:pt>
                <c:pt idx="77">
                  <c:v>2026-06-26</c:v>
                </c:pt>
                <c:pt idx="78">
                  <c:v>2026-07-03</c:v>
                </c:pt>
                <c:pt idx="79">
                  <c:v>2026-07-10</c:v>
                </c:pt>
                <c:pt idx="80">
                  <c:v>2026-07-17</c:v>
                </c:pt>
                <c:pt idx="81">
                  <c:v>2026-07-24</c:v>
                </c:pt>
                <c:pt idx="82">
                  <c:v>2026-07-31</c:v>
                </c:pt>
                <c:pt idx="83">
                  <c:v>2026-08-07</c:v>
                </c:pt>
                <c:pt idx="84">
                  <c:v>2026-08-14</c:v>
                </c:pt>
                <c:pt idx="85">
                  <c:v>2026-08-21</c:v>
                </c:pt>
                <c:pt idx="86">
                  <c:v>2026-08-28</c:v>
                </c:pt>
                <c:pt idx="87">
                  <c:v>2026-09-04</c:v>
                </c:pt>
                <c:pt idx="88">
                  <c:v>2026-09-11</c:v>
                </c:pt>
                <c:pt idx="89">
                  <c:v>2026-09-18</c:v>
                </c:pt>
                <c:pt idx="90">
                  <c:v>2026-09-25</c:v>
                </c:pt>
                <c:pt idx="91">
                  <c:v>2026-10-02</c:v>
                </c:pt>
                <c:pt idx="92">
                  <c:v>2026-10-09</c:v>
                </c:pt>
                <c:pt idx="93">
                  <c:v>2026-10-16</c:v>
                </c:pt>
                <c:pt idx="94">
                  <c:v>2026-10-23</c:v>
                </c:pt>
                <c:pt idx="95">
                  <c:v>2026-10-30</c:v>
                </c:pt>
                <c:pt idx="96">
                  <c:v>2026-11-06</c:v>
                </c:pt>
                <c:pt idx="97">
                  <c:v>2026-11-13</c:v>
                </c:pt>
                <c:pt idx="98">
                  <c:v>2026-11-20</c:v>
                </c:pt>
                <c:pt idx="99">
                  <c:v>2026-11-27</c:v>
                </c:pt>
                <c:pt idx="100">
                  <c:v>2026-12-04</c:v>
                </c:pt>
                <c:pt idx="101">
                  <c:v>2026-12-11</c:v>
                </c:pt>
                <c:pt idx="102">
                  <c:v>2026-12-18</c:v>
                </c:pt>
                <c:pt idx="103">
                  <c:v>2026-12-25</c:v>
                </c:pt>
                <c:pt idx="104">
                  <c:v>2027-01-01</c:v>
                </c:pt>
                <c:pt idx="105">
                  <c:v>2027-01-08</c:v>
                </c:pt>
                <c:pt idx="106">
                  <c:v>2027-01-15</c:v>
                </c:pt>
                <c:pt idx="107">
                  <c:v>2027-01-22</c:v>
                </c:pt>
                <c:pt idx="108">
                  <c:v>2027-01-29</c:v>
                </c:pt>
                <c:pt idx="109">
                  <c:v>2027-02-05</c:v>
                </c:pt>
                <c:pt idx="110">
                  <c:v>2027-02-12</c:v>
                </c:pt>
                <c:pt idx="111">
                  <c:v>2027-02-19</c:v>
                </c:pt>
                <c:pt idx="112">
                  <c:v>2027-02-26</c:v>
                </c:pt>
                <c:pt idx="113">
                  <c:v>2027-03-05</c:v>
                </c:pt>
                <c:pt idx="114">
                  <c:v>2027-03-12</c:v>
                </c:pt>
                <c:pt idx="115">
                  <c:v>2027-03-19</c:v>
                </c:pt>
                <c:pt idx="116">
                  <c:v>2027-03-26</c:v>
                </c:pt>
                <c:pt idx="117">
                  <c:v>2027-04-02</c:v>
                </c:pt>
                <c:pt idx="118">
                  <c:v>2027-04-09</c:v>
                </c:pt>
                <c:pt idx="119">
                  <c:v>2027-04-16</c:v>
                </c:pt>
                <c:pt idx="120">
                  <c:v>2027-04-23</c:v>
                </c:pt>
                <c:pt idx="121">
                  <c:v>2027-04-30</c:v>
                </c:pt>
                <c:pt idx="122">
                  <c:v>2027-05-07</c:v>
                </c:pt>
                <c:pt idx="123">
                  <c:v>2027-05-14</c:v>
                </c:pt>
                <c:pt idx="124">
                  <c:v>2027-05-21</c:v>
                </c:pt>
                <c:pt idx="125">
                  <c:v>2027-05-28</c:v>
                </c:pt>
                <c:pt idx="126">
                  <c:v>2027-06-04</c:v>
                </c:pt>
                <c:pt idx="127">
                  <c:v>2027-06-11</c:v>
                </c:pt>
                <c:pt idx="128">
                  <c:v>2027-06-18</c:v>
                </c:pt>
                <c:pt idx="129">
                  <c:v>2027-06-25</c:v>
                </c:pt>
                <c:pt idx="130">
                  <c:v>2027-07-02</c:v>
                </c:pt>
                <c:pt idx="131">
                  <c:v>2027-07-09</c:v>
                </c:pt>
                <c:pt idx="132">
                  <c:v>2027-07-16</c:v>
                </c:pt>
                <c:pt idx="133">
                  <c:v>2027-07-23</c:v>
                </c:pt>
                <c:pt idx="134">
                  <c:v>2027-07-30</c:v>
                </c:pt>
                <c:pt idx="135">
                  <c:v>2027-08-06</c:v>
                </c:pt>
                <c:pt idx="136">
                  <c:v>2027-08-13</c:v>
                </c:pt>
                <c:pt idx="137">
                  <c:v>2027-08-20</c:v>
                </c:pt>
                <c:pt idx="138">
                  <c:v>2027-08-27</c:v>
                </c:pt>
                <c:pt idx="139">
                  <c:v>2027-09-03</c:v>
                </c:pt>
                <c:pt idx="140">
                  <c:v>2027-09-10</c:v>
                </c:pt>
                <c:pt idx="141">
                  <c:v>2027-09-17</c:v>
                </c:pt>
                <c:pt idx="142">
                  <c:v>2027-09-24</c:v>
                </c:pt>
                <c:pt idx="143">
                  <c:v>2027-10-01</c:v>
                </c:pt>
                <c:pt idx="144">
                  <c:v>2027-10-08</c:v>
                </c:pt>
                <c:pt idx="145">
                  <c:v>2027-10-15</c:v>
                </c:pt>
                <c:pt idx="146">
                  <c:v>2027-10-22</c:v>
                </c:pt>
                <c:pt idx="147">
                  <c:v>2027-10-29</c:v>
                </c:pt>
                <c:pt idx="148">
                  <c:v>2027-11-05</c:v>
                </c:pt>
                <c:pt idx="149">
                  <c:v>2027-11-12</c:v>
                </c:pt>
                <c:pt idx="150">
                  <c:v>2027-11-19</c:v>
                </c:pt>
                <c:pt idx="151">
                  <c:v>2027-11-26</c:v>
                </c:pt>
                <c:pt idx="152">
                  <c:v>2027-12-03</c:v>
                </c:pt>
                <c:pt idx="153">
                  <c:v>2027-12-10</c:v>
                </c:pt>
                <c:pt idx="154">
                  <c:v>2027-12-17</c:v>
                </c:pt>
                <c:pt idx="155">
                  <c:v>2027-12-24</c:v>
                </c:pt>
                <c:pt idx="156">
                  <c:v>2027-12-31</c:v>
                </c:pt>
              </c:strCache>
            </c:strRef>
          </c:cat>
          <c:val>
            <c:numRef>
              <c:f>Airbnb!$E$3:$E$159</c:f>
              <c:numCache>
                <c:formatCode>General</c:formatCode>
                <c:ptCount val="1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402450"/>
        <c:axId val="89361564"/>
      </c:lineChart>
      <c:lineChart>
        <c:grouping val="standard"/>
        <c:varyColors val="0"/>
        <c:ser>
          <c:idx val="1"/>
          <c:order val="1"/>
          <c:tx>
            <c:strRef>
              <c:f>Airbnb!G2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Airbnb!$A$3:$A$159</c:f>
              <c:strCache>
                <c:ptCount val="157"/>
                <c:pt idx="0">
                  <c:v>2025-01-03</c:v>
                </c:pt>
                <c:pt idx="1">
                  <c:v>2025-01-10</c:v>
                </c:pt>
                <c:pt idx="2">
                  <c:v>2025-01-17</c:v>
                </c:pt>
                <c:pt idx="3">
                  <c:v>2025-01-24</c:v>
                </c:pt>
                <c:pt idx="4">
                  <c:v>2025-01-31</c:v>
                </c:pt>
                <c:pt idx="5">
                  <c:v>2025-02-07</c:v>
                </c:pt>
                <c:pt idx="6">
                  <c:v>2025-02-14</c:v>
                </c:pt>
                <c:pt idx="7">
                  <c:v>2025-02-21</c:v>
                </c:pt>
                <c:pt idx="8">
                  <c:v>2025-02-28</c:v>
                </c:pt>
                <c:pt idx="9">
                  <c:v>2025-03-07</c:v>
                </c:pt>
                <c:pt idx="10">
                  <c:v>2025-03-14</c:v>
                </c:pt>
                <c:pt idx="11">
                  <c:v>2025-03-21</c:v>
                </c:pt>
                <c:pt idx="12">
                  <c:v>2025-03-28</c:v>
                </c:pt>
                <c:pt idx="13">
                  <c:v>2025-04-04</c:v>
                </c:pt>
                <c:pt idx="14">
                  <c:v>2025-04-11</c:v>
                </c:pt>
                <c:pt idx="15">
                  <c:v>2025-04-18</c:v>
                </c:pt>
                <c:pt idx="16">
                  <c:v>2025-04-25</c:v>
                </c:pt>
                <c:pt idx="17">
                  <c:v>2025-05-02</c:v>
                </c:pt>
                <c:pt idx="18">
                  <c:v>2025-05-09</c:v>
                </c:pt>
                <c:pt idx="19">
                  <c:v>2025-05-16</c:v>
                </c:pt>
                <c:pt idx="20">
                  <c:v>2025-05-23</c:v>
                </c:pt>
                <c:pt idx="21">
                  <c:v>2025-05-30</c:v>
                </c:pt>
                <c:pt idx="22">
                  <c:v>2025-06-06</c:v>
                </c:pt>
                <c:pt idx="23">
                  <c:v>2025-06-13</c:v>
                </c:pt>
                <c:pt idx="24">
                  <c:v>2025-06-20</c:v>
                </c:pt>
                <c:pt idx="25">
                  <c:v>2025-06-27</c:v>
                </c:pt>
                <c:pt idx="26">
                  <c:v>2025-07-04</c:v>
                </c:pt>
                <c:pt idx="27">
                  <c:v>2025-07-11</c:v>
                </c:pt>
                <c:pt idx="28">
                  <c:v>2025-07-18</c:v>
                </c:pt>
                <c:pt idx="29">
                  <c:v>2025-07-25</c:v>
                </c:pt>
                <c:pt idx="30">
                  <c:v>2025-08-01</c:v>
                </c:pt>
                <c:pt idx="31">
                  <c:v>2025-08-08</c:v>
                </c:pt>
                <c:pt idx="32">
                  <c:v>2025-08-15</c:v>
                </c:pt>
                <c:pt idx="33">
                  <c:v>2025-08-22</c:v>
                </c:pt>
                <c:pt idx="34">
                  <c:v>2025-08-29</c:v>
                </c:pt>
                <c:pt idx="35">
                  <c:v>2025-09-05</c:v>
                </c:pt>
                <c:pt idx="36">
                  <c:v>2025-09-12</c:v>
                </c:pt>
                <c:pt idx="37">
                  <c:v>2025-09-19</c:v>
                </c:pt>
                <c:pt idx="38">
                  <c:v>2025-09-26</c:v>
                </c:pt>
                <c:pt idx="39">
                  <c:v>2025-10-03</c:v>
                </c:pt>
                <c:pt idx="40">
                  <c:v>2025-10-10</c:v>
                </c:pt>
                <c:pt idx="41">
                  <c:v>2025-10-17</c:v>
                </c:pt>
                <c:pt idx="42">
                  <c:v>2025-10-24</c:v>
                </c:pt>
                <c:pt idx="43">
                  <c:v>2025-10-31</c:v>
                </c:pt>
                <c:pt idx="44">
                  <c:v>2025-11-07</c:v>
                </c:pt>
                <c:pt idx="45">
                  <c:v>2025-11-14</c:v>
                </c:pt>
                <c:pt idx="46">
                  <c:v>2025-11-21</c:v>
                </c:pt>
                <c:pt idx="47">
                  <c:v>2025-11-28</c:v>
                </c:pt>
                <c:pt idx="48">
                  <c:v>2025-12-05</c:v>
                </c:pt>
                <c:pt idx="49">
                  <c:v>2025-12-12</c:v>
                </c:pt>
                <c:pt idx="50">
                  <c:v>2025-12-19</c:v>
                </c:pt>
                <c:pt idx="51">
                  <c:v>2025-12-26</c:v>
                </c:pt>
                <c:pt idx="52">
                  <c:v>2026-01-02</c:v>
                </c:pt>
                <c:pt idx="53">
                  <c:v>2026-01-09</c:v>
                </c:pt>
                <c:pt idx="54">
                  <c:v>2026-01-16</c:v>
                </c:pt>
                <c:pt idx="55">
                  <c:v>2026-01-23</c:v>
                </c:pt>
                <c:pt idx="56">
                  <c:v>2026-01-30</c:v>
                </c:pt>
                <c:pt idx="57">
                  <c:v>2026-02-06</c:v>
                </c:pt>
                <c:pt idx="58">
                  <c:v>2026-02-13</c:v>
                </c:pt>
                <c:pt idx="59">
                  <c:v>2026-02-20</c:v>
                </c:pt>
                <c:pt idx="60">
                  <c:v>2026-02-27</c:v>
                </c:pt>
                <c:pt idx="61">
                  <c:v>2026-03-06</c:v>
                </c:pt>
                <c:pt idx="62">
                  <c:v>2026-03-13</c:v>
                </c:pt>
                <c:pt idx="63">
                  <c:v>2026-03-20</c:v>
                </c:pt>
                <c:pt idx="64">
                  <c:v>2026-03-27</c:v>
                </c:pt>
                <c:pt idx="65">
                  <c:v>2026-04-03</c:v>
                </c:pt>
                <c:pt idx="66">
                  <c:v>2026-04-10</c:v>
                </c:pt>
                <c:pt idx="67">
                  <c:v>2026-04-17</c:v>
                </c:pt>
                <c:pt idx="68">
                  <c:v>2026-04-24</c:v>
                </c:pt>
                <c:pt idx="69">
                  <c:v>2026-05-01</c:v>
                </c:pt>
                <c:pt idx="70">
                  <c:v>2026-05-08</c:v>
                </c:pt>
                <c:pt idx="71">
                  <c:v>2026-05-15</c:v>
                </c:pt>
                <c:pt idx="72">
                  <c:v>2026-05-22</c:v>
                </c:pt>
                <c:pt idx="73">
                  <c:v>2026-05-29</c:v>
                </c:pt>
                <c:pt idx="74">
                  <c:v>2026-06-05</c:v>
                </c:pt>
                <c:pt idx="75">
                  <c:v>2026-06-12</c:v>
                </c:pt>
                <c:pt idx="76">
                  <c:v>2026-06-19</c:v>
                </c:pt>
                <c:pt idx="77">
                  <c:v>2026-06-26</c:v>
                </c:pt>
                <c:pt idx="78">
                  <c:v>2026-07-03</c:v>
                </c:pt>
                <c:pt idx="79">
                  <c:v>2026-07-10</c:v>
                </c:pt>
                <c:pt idx="80">
                  <c:v>2026-07-17</c:v>
                </c:pt>
                <c:pt idx="81">
                  <c:v>2026-07-24</c:v>
                </c:pt>
                <c:pt idx="82">
                  <c:v>2026-07-31</c:v>
                </c:pt>
                <c:pt idx="83">
                  <c:v>2026-08-07</c:v>
                </c:pt>
                <c:pt idx="84">
                  <c:v>2026-08-14</c:v>
                </c:pt>
                <c:pt idx="85">
                  <c:v>2026-08-21</c:v>
                </c:pt>
                <c:pt idx="86">
                  <c:v>2026-08-28</c:v>
                </c:pt>
                <c:pt idx="87">
                  <c:v>2026-09-04</c:v>
                </c:pt>
                <c:pt idx="88">
                  <c:v>2026-09-11</c:v>
                </c:pt>
                <c:pt idx="89">
                  <c:v>2026-09-18</c:v>
                </c:pt>
                <c:pt idx="90">
                  <c:v>2026-09-25</c:v>
                </c:pt>
                <c:pt idx="91">
                  <c:v>2026-10-02</c:v>
                </c:pt>
                <c:pt idx="92">
                  <c:v>2026-10-09</c:v>
                </c:pt>
                <c:pt idx="93">
                  <c:v>2026-10-16</c:v>
                </c:pt>
                <c:pt idx="94">
                  <c:v>2026-10-23</c:v>
                </c:pt>
                <c:pt idx="95">
                  <c:v>2026-10-30</c:v>
                </c:pt>
                <c:pt idx="96">
                  <c:v>2026-11-06</c:v>
                </c:pt>
                <c:pt idx="97">
                  <c:v>2026-11-13</c:v>
                </c:pt>
                <c:pt idx="98">
                  <c:v>2026-11-20</c:v>
                </c:pt>
                <c:pt idx="99">
                  <c:v>2026-11-27</c:v>
                </c:pt>
                <c:pt idx="100">
                  <c:v>2026-12-04</c:v>
                </c:pt>
                <c:pt idx="101">
                  <c:v>2026-12-11</c:v>
                </c:pt>
                <c:pt idx="102">
                  <c:v>2026-12-18</c:v>
                </c:pt>
                <c:pt idx="103">
                  <c:v>2026-12-25</c:v>
                </c:pt>
                <c:pt idx="104">
                  <c:v>2027-01-01</c:v>
                </c:pt>
                <c:pt idx="105">
                  <c:v>2027-01-08</c:v>
                </c:pt>
                <c:pt idx="106">
                  <c:v>2027-01-15</c:v>
                </c:pt>
                <c:pt idx="107">
                  <c:v>2027-01-22</c:v>
                </c:pt>
                <c:pt idx="108">
                  <c:v>2027-01-29</c:v>
                </c:pt>
                <c:pt idx="109">
                  <c:v>2027-02-05</c:v>
                </c:pt>
                <c:pt idx="110">
                  <c:v>2027-02-12</c:v>
                </c:pt>
                <c:pt idx="111">
                  <c:v>2027-02-19</c:v>
                </c:pt>
                <c:pt idx="112">
                  <c:v>2027-02-26</c:v>
                </c:pt>
                <c:pt idx="113">
                  <c:v>2027-03-05</c:v>
                </c:pt>
                <c:pt idx="114">
                  <c:v>2027-03-12</c:v>
                </c:pt>
                <c:pt idx="115">
                  <c:v>2027-03-19</c:v>
                </c:pt>
                <c:pt idx="116">
                  <c:v>2027-03-26</c:v>
                </c:pt>
                <c:pt idx="117">
                  <c:v>2027-04-02</c:v>
                </c:pt>
                <c:pt idx="118">
                  <c:v>2027-04-09</c:v>
                </c:pt>
                <c:pt idx="119">
                  <c:v>2027-04-16</c:v>
                </c:pt>
                <c:pt idx="120">
                  <c:v>2027-04-23</c:v>
                </c:pt>
                <c:pt idx="121">
                  <c:v>2027-04-30</c:v>
                </c:pt>
                <c:pt idx="122">
                  <c:v>2027-05-07</c:v>
                </c:pt>
                <c:pt idx="123">
                  <c:v>2027-05-14</c:v>
                </c:pt>
                <c:pt idx="124">
                  <c:v>2027-05-21</c:v>
                </c:pt>
                <c:pt idx="125">
                  <c:v>2027-05-28</c:v>
                </c:pt>
                <c:pt idx="126">
                  <c:v>2027-06-04</c:v>
                </c:pt>
                <c:pt idx="127">
                  <c:v>2027-06-11</c:v>
                </c:pt>
                <c:pt idx="128">
                  <c:v>2027-06-18</c:v>
                </c:pt>
                <c:pt idx="129">
                  <c:v>2027-06-25</c:v>
                </c:pt>
                <c:pt idx="130">
                  <c:v>2027-07-02</c:v>
                </c:pt>
                <c:pt idx="131">
                  <c:v>2027-07-09</c:v>
                </c:pt>
                <c:pt idx="132">
                  <c:v>2027-07-16</c:v>
                </c:pt>
                <c:pt idx="133">
                  <c:v>2027-07-23</c:v>
                </c:pt>
                <c:pt idx="134">
                  <c:v>2027-07-30</c:v>
                </c:pt>
                <c:pt idx="135">
                  <c:v>2027-08-06</c:v>
                </c:pt>
                <c:pt idx="136">
                  <c:v>2027-08-13</c:v>
                </c:pt>
                <c:pt idx="137">
                  <c:v>2027-08-20</c:v>
                </c:pt>
                <c:pt idx="138">
                  <c:v>2027-08-27</c:v>
                </c:pt>
                <c:pt idx="139">
                  <c:v>2027-09-03</c:v>
                </c:pt>
                <c:pt idx="140">
                  <c:v>2027-09-10</c:v>
                </c:pt>
                <c:pt idx="141">
                  <c:v>2027-09-17</c:v>
                </c:pt>
                <c:pt idx="142">
                  <c:v>2027-09-24</c:v>
                </c:pt>
                <c:pt idx="143">
                  <c:v>2027-10-01</c:v>
                </c:pt>
                <c:pt idx="144">
                  <c:v>2027-10-08</c:v>
                </c:pt>
                <c:pt idx="145">
                  <c:v>2027-10-15</c:v>
                </c:pt>
                <c:pt idx="146">
                  <c:v>2027-10-22</c:v>
                </c:pt>
                <c:pt idx="147">
                  <c:v>2027-10-29</c:v>
                </c:pt>
                <c:pt idx="148">
                  <c:v>2027-11-05</c:v>
                </c:pt>
                <c:pt idx="149">
                  <c:v>2027-11-12</c:v>
                </c:pt>
                <c:pt idx="150">
                  <c:v>2027-11-19</c:v>
                </c:pt>
                <c:pt idx="151">
                  <c:v>2027-11-26</c:v>
                </c:pt>
                <c:pt idx="152">
                  <c:v>2027-12-03</c:v>
                </c:pt>
                <c:pt idx="153">
                  <c:v>2027-12-10</c:v>
                </c:pt>
                <c:pt idx="154">
                  <c:v>2027-12-17</c:v>
                </c:pt>
                <c:pt idx="155">
                  <c:v>2027-12-24</c:v>
                </c:pt>
                <c:pt idx="156">
                  <c:v>2027-12-31</c:v>
                </c:pt>
              </c:strCache>
            </c:strRef>
          </c:cat>
          <c:val>
            <c:numRef>
              <c:f>Airbnb!$G$3:$G$159</c:f>
              <c:numCache>
                <c:formatCode>General</c:formatCode>
                <c:ptCount val="1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257</c:v>
                </c:pt>
                <c:pt idx="27">
                  <c:v>515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891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361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284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238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67871"/>
        <c:axId val="29018977"/>
      </c:lineChart>
      <c:catAx>
        <c:axId val="624024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61564"/>
        <c:crosses val="autoZero"/>
        <c:auto val="1"/>
        <c:lblAlgn val="ctr"/>
        <c:lblOffset val="100"/>
        <c:noMultiLvlLbl val="0"/>
      </c:catAx>
      <c:valAx>
        <c:axId val="893615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Bookings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02450"/>
        <c:crosses val="autoZero"/>
        <c:crossBetween val="between"/>
      </c:valAx>
      <c:catAx>
        <c:axId val="4567871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18977"/>
        <c:crosses val="autoZero"/>
        <c:auto val="1"/>
        <c:lblAlgn val="ctr"/>
        <c:lblOffset val="100"/>
        <c:noMultiLvlLbl val="0"/>
      </c:catAx>
      <c:valAx>
        <c:axId val="2901897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787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Facebook vs Instagram Reach (weekly)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"Facebook Reach"</c:f>
              <c:strCache>
                <c:ptCount val="1"/>
                <c:pt idx="0">
                  <c:v>Facebook Reach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Facebook!$A$3:$A$159</c:f>
              <c:strCache>
                <c:ptCount val="157"/>
                <c:pt idx="0">
                  <c:v>2025-01-03</c:v>
                </c:pt>
                <c:pt idx="1">
                  <c:v>2025-01-10</c:v>
                </c:pt>
                <c:pt idx="2">
                  <c:v>2025-01-17</c:v>
                </c:pt>
                <c:pt idx="3">
                  <c:v>2025-01-24</c:v>
                </c:pt>
                <c:pt idx="4">
                  <c:v>2025-01-31</c:v>
                </c:pt>
                <c:pt idx="5">
                  <c:v>2025-02-07</c:v>
                </c:pt>
                <c:pt idx="6">
                  <c:v>2025-02-14</c:v>
                </c:pt>
                <c:pt idx="7">
                  <c:v>2025-02-21</c:v>
                </c:pt>
                <c:pt idx="8">
                  <c:v>2025-02-28</c:v>
                </c:pt>
                <c:pt idx="9">
                  <c:v>2025-03-07</c:v>
                </c:pt>
                <c:pt idx="10">
                  <c:v>2025-03-14</c:v>
                </c:pt>
                <c:pt idx="11">
                  <c:v>2025-03-21</c:v>
                </c:pt>
                <c:pt idx="12">
                  <c:v>2025-03-28</c:v>
                </c:pt>
                <c:pt idx="13">
                  <c:v>2025-04-04</c:v>
                </c:pt>
                <c:pt idx="14">
                  <c:v>2025-04-11</c:v>
                </c:pt>
                <c:pt idx="15">
                  <c:v>2025-04-18</c:v>
                </c:pt>
                <c:pt idx="16">
                  <c:v>2025-04-25</c:v>
                </c:pt>
                <c:pt idx="17">
                  <c:v>2025-05-02</c:v>
                </c:pt>
                <c:pt idx="18">
                  <c:v>2025-05-09</c:v>
                </c:pt>
                <c:pt idx="19">
                  <c:v>2025-05-16</c:v>
                </c:pt>
                <c:pt idx="20">
                  <c:v>2025-05-23</c:v>
                </c:pt>
                <c:pt idx="21">
                  <c:v>2025-05-30</c:v>
                </c:pt>
                <c:pt idx="22">
                  <c:v>2025-06-06</c:v>
                </c:pt>
                <c:pt idx="23">
                  <c:v>2025-06-13</c:v>
                </c:pt>
                <c:pt idx="24">
                  <c:v>2025-06-20</c:v>
                </c:pt>
                <c:pt idx="25">
                  <c:v>2025-06-27</c:v>
                </c:pt>
                <c:pt idx="26">
                  <c:v>2025-07-04</c:v>
                </c:pt>
                <c:pt idx="27">
                  <c:v>2025-07-11</c:v>
                </c:pt>
                <c:pt idx="28">
                  <c:v>2025-07-18</c:v>
                </c:pt>
                <c:pt idx="29">
                  <c:v>2025-07-25</c:v>
                </c:pt>
                <c:pt idx="30">
                  <c:v>2025-08-01</c:v>
                </c:pt>
                <c:pt idx="31">
                  <c:v>2025-08-08</c:v>
                </c:pt>
                <c:pt idx="32">
                  <c:v>2025-08-15</c:v>
                </c:pt>
                <c:pt idx="33">
                  <c:v>2025-08-22</c:v>
                </c:pt>
                <c:pt idx="34">
                  <c:v>2025-08-29</c:v>
                </c:pt>
                <c:pt idx="35">
                  <c:v>2025-09-05</c:v>
                </c:pt>
                <c:pt idx="36">
                  <c:v>2025-09-12</c:v>
                </c:pt>
                <c:pt idx="37">
                  <c:v>2025-09-19</c:v>
                </c:pt>
                <c:pt idx="38">
                  <c:v>2025-09-26</c:v>
                </c:pt>
                <c:pt idx="39">
                  <c:v>2025-10-03</c:v>
                </c:pt>
                <c:pt idx="40">
                  <c:v>2025-10-10</c:v>
                </c:pt>
                <c:pt idx="41">
                  <c:v>2025-10-17</c:v>
                </c:pt>
                <c:pt idx="42">
                  <c:v>2025-10-24</c:v>
                </c:pt>
                <c:pt idx="43">
                  <c:v>2025-10-31</c:v>
                </c:pt>
                <c:pt idx="44">
                  <c:v>2025-11-07</c:v>
                </c:pt>
                <c:pt idx="45">
                  <c:v>2025-11-14</c:v>
                </c:pt>
                <c:pt idx="46">
                  <c:v>2025-11-21</c:v>
                </c:pt>
                <c:pt idx="47">
                  <c:v>2025-11-28</c:v>
                </c:pt>
                <c:pt idx="48">
                  <c:v>2025-12-05</c:v>
                </c:pt>
                <c:pt idx="49">
                  <c:v>2025-12-12</c:v>
                </c:pt>
                <c:pt idx="50">
                  <c:v>2025-12-19</c:v>
                </c:pt>
                <c:pt idx="51">
                  <c:v>2025-12-26</c:v>
                </c:pt>
                <c:pt idx="52">
                  <c:v>2026-01-02</c:v>
                </c:pt>
                <c:pt idx="53">
                  <c:v>2026-01-09</c:v>
                </c:pt>
                <c:pt idx="54">
                  <c:v>2026-01-16</c:v>
                </c:pt>
                <c:pt idx="55">
                  <c:v>2026-01-23</c:v>
                </c:pt>
                <c:pt idx="56">
                  <c:v>2026-01-30</c:v>
                </c:pt>
                <c:pt idx="57">
                  <c:v>2026-02-06</c:v>
                </c:pt>
                <c:pt idx="58">
                  <c:v>2026-02-13</c:v>
                </c:pt>
                <c:pt idx="59">
                  <c:v>2026-02-20</c:v>
                </c:pt>
                <c:pt idx="60">
                  <c:v>2026-02-27</c:v>
                </c:pt>
                <c:pt idx="61">
                  <c:v>2026-03-06</c:v>
                </c:pt>
                <c:pt idx="62">
                  <c:v>2026-03-13</c:v>
                </c:pt>
                <c:pt idx="63">
                  <c:v>2026-03-20</c:v>
                </c:pt>
                <c:pt idx="64">
                  <c:v>2026-03-27</c:v>
                </c:pt>
                <c:pt idx="65">
                  <c:v>2026-04-03</c:v>
                </c:pt>
                <c:pt idx="66">
                  <c:v>2026-04-10</c:v>
                </c:pt>
                <c:pt idx="67">
                  <c:v>2026-04-17</c:v>
                </c:pt>
                <c:pt idx="68">
                  <c:v>2026-04-24</c:v>
                </c:pt>
                <c:pt idx="69">
                  <c:v>2026-05-01</c:v>
                </c:pt>
                <c:pt idx="70">
                  <c:v>2026-05-08</c:v>
                </c:pt>
                <c:pt idx="71">
                  <c:v>2026-05-15</c:v>
                </c:pt>
                <c:pt idx="72">
                  <c:v>2026-05-22</c:v>
                </c:pt>
                <c:pt idx="73">
                  <c:v>2026-05-29</c:v>
                </c:pt>
                <c:pt idx="74">
                  <c:v>2026-06-05</c:v>
                </c:pt>
                <c:pt idx="75">
                  <c:v>2026-06-12</c:v>
                </c:pt>
                <c:pt idx="76">
                  <c:v>2026-06-19</c:v>
                </c:pt>
                <c:pt idx="77">
                  <c:v>2026-06-26</c:v>
                </c:pt>
                <c:pt idx="78">
                  <c:v>2026-07-03</c:v>
                </c:pt>
                <c:pt idx="79">
                  <c:v>2026-07-10</c:v>
                </c:pt>
                <c:pt idx="80">
                  <c:v>2026-07-17</c:v>
                </c:pt>
                <c:pt idx="81">
                  <c:v>2026-07-24</c:v>
                </c:pt>
                <c:pt idx="82">
                  <c:v>2026-07-31</c:v>
                </c:pt>
                <c:pt idx="83">
                  <c:v>2026-08-07</c:v>
                </c:pt>
                <c:pt idx="84">
                  <c:v>2026-08-14</c:v>
                </c:pt>
                <c:pt idx="85">
                  <c:v>2026-08-21</c:v>
                </c:pt>
                <c:pt idx="86">
                  <c:v>2026-08-28</c:v>
                </c:pt>
                <c:pt idx="87">
                  <c:v>2026-09-04</c:v>
                </c:pt>
                <c:pt idx="88">
                  <c:v>2026-09-11</c:v>
                </c:pt>
                <c:pt idx="89">
                  <c:v>2026-09-18</c:v>
                </c:pt>
                <c:pt idx="90">
                  <c:v>2026-09-25</c:v>
                </c:pt>
                <c:pt idx="91">
                  <c:v>2026-10-02</c:v>
                </c:pt>
                <c:pt idx="92">
                  <c:v>2026-10-09</c:v>
                </c:pt>
                <c:pt idx="93">
                  <c:v>2026-10-16</c:v>
                </c:pt>
                <c:pt idx="94">
                  <c:v>2026-10-23</c:v>
                </c:pt>
                <c:pt idx="95">
                  <c:v>2026-10-30</c:v>
                </c:pt>
                <c:pt idx="96">
                  <c:v>2026-11-06</c:v>
                </c:pt>
                <c:pt idx="97">
                  <c:v>2026-11-13</c:v>
                </c:pt>
                <c:pt idx="98">
                  <c:v>2026-11-20</c:v>
                </c:pt>
                <c:pt idx="99">
                  <c:v>2026-11-27</c:v>
                </c:pt>
                <c:pt idx="100">
                  <c:v>2026-12-04</c:v>
                </c:pt>
                <c:pt idx="101">
                  <c:v>2026-12-11</c:v>
                </c:pt>
                <c:pt idx="102">
                  <c:v>2026-12-18</c:v>
                </c:pt>
                <c:pt idx="103">
                  <c:v>2026-12-25</c:v>
                </c:pt>
                <c:pt idx="104">
                  <c:v>2027-01-01</c:v>
                </c:pt>
                <c:pt idx="105">
                  <c:v>2027-01-08</c:v>
                </c:pt>
                <c:pt idx="106">
                  <c:v>2027-01-15</c:v>
                </c:pt>
                <c:pt idx="107">
                  <c:v>2027-01-22</c:v>
                </c:pt>
                <c:pt idx="108">
                  <c:v>2027-01-29</c:v>
                </c:pt>
                <c:pt idx="109">
                  <c:v>2027-02-05</c:v>
                </c:pt>
                <c:pt idx="110">
                  <c:v>2027-02-12</c:v>
                </c:pt>
                <c:pt idx="111">
                  <c:v>2027-02-19</c:v>
                </c:pt>
                <c:pt idx="112">
                  <c:v>2027-02-26</c:v>
                </c:pt>
                <c:pt idx="113">
                  <c:v>2027-03-05</c:v>
                </c:pt>
                <c:pt idx="114">
                  <c:v>2027-03-12</c:v>
                </c:pt>
                <c:pt idx="115">
                  <c:v>2027-03-19</c:v>
                </c:pt>
                <c:pt idx="116">
                  <c:v>2027-03-26</c:v>
                </c:pt>
                <c:pt idx="117">
                  <c:v>2027-04-02</c:v>
                </c:pt>
                <c:pt idx="118">
                  <c:v>2027-04-09</c:v>
                </c:pt>
                <c:pt idx="119">
                  <c:v>2027-04-16</c:v>
                </c:pt>
                <c:pt idx="120">
                  <c:v>2027-04-23</c:v>
                </c:pt>
                <c:pt idx="121">
                  <c:v>2027-04-30</c:v>
                </c:pt>
                <c:pt idx="122">
                  <c:v>2027-05-07</c:v>
                </c:pt>
                <c:pt idx="123">
                  <c:v>2027-05-14</c:v>
                </c:pt>
                <c:pt idx="124">
                  <c:v>2027-05-21</c:v>
                </c:pt>
                <c:pt idx="125">
                  <c:v>2027-05-28</c:v>
                </c:pt>
                <c:pt idx="126">
                  <c:v>2027-06-04</c:v>
                </c:pt>
                <c:pt idx="127">
                  <c:v>2027-06-11</c:v>
                </c:pt>
                <c:pt idx="128">
                  <c:v>2027-06-18</c:v>
                </c:pt>
                <c:pt idx="129">
                  <c:v>2027-06-25</c:v>
                </c:pt>
                <c:pt idx="130">
                  <c:v>2027-07-02</c:v>
                </c:pt>
                <c:pt idx="131">
                  <c:v>2027-07-09</c:v>
                </c:pt>
                <c:pt idx="132">
                  <c:v>2027-07-16</c:v>
                </c:pt>
                <c:pt idx="133">
                  <c:v>2027-07-23</c:v>
                </c:pt>
                <c:pt idx="134">
                  <c:v>2027-07-30</c:v>
                </c:pt>
                <c:pt idx="135">
                  <c:v>2027-08-06</c:v>
                </c:pt>
                <c:pt idx="136">
                  <c:v>2027-08-13</c:v>
                </c:pt>
                <c:pt idx="137">
                  <c:v>2027-08-20</c:v>
                </c:pt>
                <c:pt idx="138">
                  <c:v>2027-08-27</c:v>
                </c:pt>
                <c:pt idx="139">
                  <c:v>2027-09-03</c:v>
                </c:pt>
                <c:pt idx="140">
                  <c:v>2027-09-10</c:v>
                </c:pt>
                <c:pt idx="141">
                  <c:v>2027-09-17</c:v>
                </c:pt>
                <c:pt idx="142">
                  <c:v>2027-09-24</c:v>
                </c:pt>
                <c:pt idx="143">
                  <c:v>2027-10-01</c:v>
                </c:pt>
                <c:pt idx="144">
                  <c:v>2027-10-08</c:v>
                </c:pt>
                <c:pt idx="145">
                  <c:v>2027-10-15</c:v>
                </c:pt>
                <c:pt idx="146">
                  <c:v>2027-10-22</c:v>
                </c:pt>
                <c:pt idx="147">
                  <c:v>2027-10-29</c:v>
                </c:pt>
                <c:pt idx="148">
                  <c:v>2027-11-05</c:v>
                </c:pt>
                <c:pt idx="149">
                  <c:v>2027-11-12</c:v>
                </c:pt>
                <c:pt idx="150">
                  <c:v>2027-11-19</c:v>
                </c:pt>
                <c:pt idx="151">
                  <c:v>2027-11-26</c:v>
                </c:pt>
                <c:pt idx="152">
                  <c:v>2027-12-03</c:v>
                </c:pt>
                <c:pt idx="153">
                  <c:v>2027-12-10</c:v>
                </c:pt>
                <c:pt idx="154">
                  <c:v>2027-12-17</c:v>
                </c:pt>
                <c:pt idx="155">
                  <c:v>2027-12-24</c:v>
                </c:pt>
                <c:pt idx="156">
                  <c:v>2027-12-31</c:v>
                </c:pt>
              </c:strCache>
            </c:strRef>
          </c:cat>
          <c:val>
            <c:numRef>
              <c:f>Facebook!$F$3:$F$159</c:f>
              <c:numCache>
                <c:formatCode>General</c:formatCode>
                <c:ptCount val="157"/>
                <c:pt idx="0">
                  <c:v>219</c:v>
                </c:pt>
                <c:pt idx="1">
                  <c:v>198</c:v>
                </c:pt>
                <c:pt idx="2">
                  <c:v>199</c:v>
                </c:pt>
                <c:pt idx="3">
                  <c:v>2783</c:v>
                </c:pt>
                <c:pt idx="4">
                  <c:v>8700</c:v>
                </c:pt>
                <c:pt idx="5">
                  <c:v>147</c:v>
                </c:pt>
                <c:pt idx="6">
                  <c:v>100</c:v>
                </c:pt>
                <c:pt idx="7">
                  <c:v>26</c:v>
                </c:pt>
                <c:pt idx="8">
                  <c:v>10</c:v>
                </c:pt>
                <c:pt idx="9">
                  <c:v>5</c:v>
                </c:pt>
                <c:pt idx="10">
                  <c:v>101</c:v>
                </c:pt>
                <c:pt idx="11">
                  <c:v>1164</c:v>
                </c:pt>
                <c:pt idx="12">
                  <c:v>1292</c:v>
                </c:pt>
                <c:pt idx="13">
                  <c:v>1901</c:v>
                </c:pt>
                <c:pt idx="14">
                  <c:v>395</c:v>
                </c:pt>
                <c:pt idx="15">
                  <c:v>440</c:v>
                </c:pt>
                <c:pt idx="16">
                  <c:v>806</c:v>
                </c:pt>
                <c:pt idx="17">
                  <c:v>1193</c:v>
                </c:pt>
                <c:pt idx="18">
                  <c:v>33</c:v>
                </c:pt>
                <c:pt idx="19">
                  <c:v>244</c:v>
                </c:pt>
                <c:pt idx="20">
                  <c:v>52</c:v>
                </c:pt>
                <c:pt idx="21">
                  <c:v>50</c:v>
                </c:pt>
                <c:pt idx="22">
                  <c:v>55</c:v>
                </c:pt>
                <c:pt idx="23">
                  <c:v>34</c:v>
                </c:pt>
                <c:pt idx="24">
                  <c:v>56</c:v>
                </c:pt>
                <c:pt idx="25">
                  <c:v>50</c:v>
                </c:pt>
                <c:pt idx="26">
                  <c:v>34</c:v>
                </c:pt>
                <c:pt idx="27">
                  <c:v>32</c:v>
                </c:pt>
                <c:pt idx="28">
                  <c:v>43</c:v>
                </c:pt>
                <c:pt idx="29">
                  <c:v>23</c:v>
                </c:pt>
                <c:pt idx="30">
                  <c:v>45</c:v>
                </c:pt>
                <c:pt idx="31">
                  <c:v>24</c:v>
                </c:pt>
                <c:pt idx="32">
                  <c:v>23</c:v>
                </c:pt>
                <c:pt idx="33">
                  <c:v>1</c:v>
                </c:pt>
                <c:pt idx="34">
                  <c:v>10</c:v>
                </c:pt>
                <c:pt idx="35">
                  <c:v>9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11</c:v>
                </c:pt>
                <c:pt idx="40">
                  <c:v>12</c:v>
                </c:pt>
                <c:pt idx="41">
                  <c:v>13</c:v>
                </c:pt>
                <c:pt idx="42">
                  <c:v>100</c:v>
                </c:pt>
                <c:pt idx="43">
                  <c:v>90</c:v>
                </c:pt>
                <c:pt idx="44">
                  <c:v>200</c:v>
                </c:pt>
                <c:pt idx="45">
                  <c:v>90</c:v>
                </c:pt>
                <c:pt idx="46">
                  <c:v>70</c:v>
                </c:pt>
                <c:pt idx="47">
                  <c:v>24</c:v>
                </c:pt>
                <c:pt idx="48">
                  <c:v>40</c:v>
                </c:pt>
                <c:pt idx="49">
                  <c:v>30</c:v>
                </c:pt>
                <c:pt idx="50">
                  <c:v>40</c:v>
                </c:pt>
                <c:pt idx="51">
                  <c:v>20</c:v>
                </c:pt>
                <c:pt idx="52">
                  <c:v>25</c:v>
                </c:pt>
                <c:pt idx="53">
                  <c:v>23</c:v>
                </c:pt>
                <c:pt idx="54">
                  <c:v>30</c:v>
                </c:pt>
                <c:pt idx="55">
                  <c:v>25</c:v>
                </c:pt>
                <c:pt idx="56">
                  <c:v>20</c:v>
                </c:pt>
                <c:pt idx="57">
                  <c:v>40</c:v>
                </c:pt>
                <c:pt idx="58">
                  <c:v>34</c:v>
                </c:pt>
                <c:pt idx="59">
                  <c:v>26</c:v>
                </c:pt>
                <c:pt idx="60">
                  <c:v>23</c:v>
                </c:pt>
                <c:pt idx="61">
                  <c:v>20</c:v>
                </c:pt>
                <c:pt idx="62">
                  <c:v>15</c:v>
                </c:pt>
                <c:pt idx="63">
                  <c:v>13</c:v>
                </c:pt>
                <c:pt idx="64">
                  <c:v>14</c:v>
                </c:pt>
                <c:pt idx="65">
                  <c:v>12</c:v>
                </c:pt>
                <c:pt idx="66">
                  <c:v>17</c:v>
                </c:pt>
                <c:pt idx="67">
                  <c:v>40</c:v>
                </c:pt>
                <c:pt idx="68">
                  <c:v>35</c:v>
                </c:pt>
                <c:pt idx="69">
                  <c:v>45</c:v>
                </c:pt>
                <c:pt idx="70">
                  <c:v>34</c:v>
                </c:pt>
                <c:pt idx="71">
                  <c:v>23</c:v>
                </c:pt>
                <c:pt idx="72">
                  <c:v>27</c:v>
                </c:pt>
                <c:pt idx="73">
                  <c:v>18</c:v>
                </c:pt>
                <c:pt idx="74">
                  <c:v>21</c:v>
                </c:pt>
                <c:pt idx="75">
                  <c:v>50</c:v>
                </c:pt>
                <c:pt idx="76">
                  <c:v>13</c:v>
                </c:pt>
                <c:pt idx="77">
                  <c:v>20</c:v>
                </c:pt>
                <c:pt idx="78">
                  <c:v>21</c:v>
                </c:pt>
                <c:pt idx="79">
                  <c:v>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"Instagram Reach"</c:f>
              <c:strCache>
                <c:ptCount val="1"/>
                <c:pt idx="0">
                  <c:v>Instagram Reach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Facebook!$A$3:$A$159</c:f>
              <c:strCache>
                <c:ptCount val="157"/>
                <c:pt idx="0">
                  <c:v>2025-01-03</c:v>
                </c:pt>
                <c:pt idx="1">
                  <c:v>2025-01-10</c:v>
                </c:pt>
                <c:pt idx="2">
                  <c:v>2025-01-17</c:v>
                </c:pt>
                <c:pt idx="3">
                  <c:v>2025-01-24</c:v>
                </c:pt>
                <c:pt idx="4">
                  <c:v>2025-01-31</c:v>
                </c:pt>
                <c:pt idx="5">
                  <c:v>2025-02-07</c:v>
                </c:pt>
                <c:pt idx="6">
                  <c:v>2025-02-14</c:v>
                </c:pt>
                <c:pt idx="7">
                  <c:v>2025-02-21</c:v>
                </c:pt>
                <c:pt idx="8">
                  <c:v>2025-02-28</c:v>
                </c:pt>
                <c:pt idx="9">
                  <c:v>2025-03-07</c:v>
                </c:pt>
                <c:pt idx="10">
                  <c:v>2025-03-14</c:v>
                </c:pt>
                <c:pt idx="11">
                  <c:v>2025-03-21</c:v>
                </c:pt>
                <c:pt idx="12">
                  <c:v>2025-03-28</c:v>
                </c:pt>
                <c:pt idx="13">
                  <c:v>2025-04-04</c:v>
                </c:pt>
                <c:pt idx="14">
                  <c:v>2025-04-11</c:v>
                </c:pt>
                <c:pt idx="15">
                  <c:v>2025-04-18</c:v>
                </c:pt>
                <c:pt idx="16">
                  <c:v>2025-04-25</c:v>
                </c:pt>
                <c:pt idx="17">
                  <c:v>2025-05-02</c:v>
                </c:pt>
                <c:pt idx="18">
                  <c:v>2025-05-09</c:v>
                </c:pt>
                <c:pt idx="19">
                  <c:v>2025-05-16</c:v>
                </c:pt>
                <c:pt idx="20">
                  <c:v>2025-05-23</c:v>
                </c:pt>
                <c:pt idx="21">
                  <c:v>2025-05-30</c:v>
                </c:pt>
                <c:pt idx="22">
                  <c:v>2025-06-06</c:v>
                </c:pt>
                <c:pt idx="23">
                  <c:v>2025-06-13</c:v>
                </c:pt>
                <c:pt idx="24">
                  <c:v>2025-06-20</c:v>
                </c:pt>
                <c:pt idx="25">
                  <c:v>2025-06-27</c:v>
                </c:pt>
                <c:pt idx="26">
                  <c:v>2025-07-04</c:v>
                </c:pt>
                <c:pt idx="27">
                  <c:v>2025-07-11</c:v>
                </c:pt>
                <c:pt idx="28">
                  <c:v>2025-07-18</c:v>
                </c:pt>
                <c:pt idx="29">
                  <c:v>2025-07-25</c:v>
                </c:pt>
                <c:pt idx="30">
                  <c:v>2025-08-01</c:v>
                </c:pt>
                <c:pt idx="31">
                  <c:v>2025-08-08</c:v>
                </c:pt>
                <c:pt idx="32">
                  <c:v>2025-08-15</c:v>
                </c:pt>
                <c:pt idx="33">
                  <c:v>2025-08-22</c:v>
                </c:pt>
                <c:pt idx="34">
                  <c:v>2025-08-29</c:v>
                </c:pt>
                <c:pt idx="35">
                  <c:v>2025-09-05</c:v>
                </c:pt>
                <c:pt idx="36">
                  <c:v>2025-09-12</c:v>
                </c:pt>
                <c:pt idx="37">
                  <c:v>2025-09-19</c:v>
                </c:pt>
                <c:pt idx="38">
                  <c:v>2025-09-26</c:v>
                </c:pt>
                <c:pt idx="39">
                  <c:v>2025-10-03</c:v>
                </c:pt>
                <c:pt idx="40">
                  <c:v>2025-10-10</c:v>
                </c:pt>
                <c:pt idx="41">
                  <c:v>2025-10-17</c:v>
                </c:pt>
                <c:pt idx="42">
                  <c:v>2025-10-24</c:v>
                </c:pt>
                <c:pt idx="43">
                  <c:v>2025-10-31</c:v>
                </c:pt>
                <c:pt idx="44">
                  <c:v>2025-11-07</c:v>
                </c:pt>
                <c:pt idx="45">
                  <c:v>2025-11-14</c:v>
                </c:pt>
                <c:pt idx="46">
                  <c:v>2025-11-21</c:v>
                </c:pt>
                <c:pt idx="47">
                  <c:v>2025-11-28</c:v>
                </c:pt>
                <c:pt idx="48">
                  <c:v>2025-12-05</c:v>
                </c:pt>
                <c:pt idx="49">
                  <c:v>2025-12-12</c:v>
                </c:pt>
                <c:pt idx="50">
                  <c:v>2025-12-19</c:v>
                </c:pt>
                <c:pt idx="51">
                  <c:v>2025-12-26</c:v>
                </c:pt>
                <c:pt idx="52">
                  <c:v>2026-01-02</c:v>
                </c:pt>
                <c:pt idx="53">
                  <c:v>2026-01-09</c:v>
                </c:pt>
                <c:pt idx="54">
                  <c:v>2026-01-16</c:v>
                </c:pt>
                <c:pt idx="55">
                  <c:v>2026-01-23</c:v>
                </c:pt>
                <c:pt idx="56">
                  <c:v>2026-01-30</c:v>
                </c:pt>
                <c:pt idx="57">
                  <c:v>2026-02-06</c:v>
                </c:pt>
                <c:pt idx="58">
                  <c:v>2026-02-13</c:v>
                </c:pt>
                <c:pt idx="59">
                  <c:v>2026-02-20</c:v>
                </c:pt>
                <c:pt idx="60">
                  <c:v>2026-02-27</c:v>
                </c:pt>
                <c:pt idx="61">
                  <c:v>2026-03-06</c:v>
                </c:pt>
                <c:pt idx="62">
                  <c:v>2026-03-13</c:v>
                </c:pt>
                <c:pt idx="63">
                  <c:v>2026-03-20</c:v>
                </c:pt>
                <c:pt idx="64">
                  <c:v>2026-03-27</c:v>
                </c:pt>
                <c:pt idx="65">
                  <c:v>2026-04-03</c:v>
                </c:pt>
                <c:pt idx="66">
                  <c:v>2026-04-10</c:v>
                </c:pt>
                <c:pt idx="67">
                  <c:v>2026-04-17</c:v>
                </c:pt>
                <c:pt idx="68">
                  <c:v>2026-04-24</c:v>
                </c:pt>
                <c:pt idx="69">
                  <c:v>2026-05-01</c:v>
                </c:pt>
                <c:pt idx="70">
                  <c:v>2026-05-08</c:v>
                </c:pt>
                <c:pt idx="71">
                  <c:v>2026-05-15</c:v>
                </c:pt>
                <c:pt idx="72">
                  <c:v>2026-05-22</c:v>
                </c:pt>
                <c:pt idx="73">
                  <c:v>2026-05-29</c:v>
                </c:pt>
                <c:pt idx="74">
                  <c:v>2026-06-05</c:v>
                </c:pt>
                <c:pt idx="75">
                  <c:v>2026-06-12</c:v>
                </c:pt>
                <c:pt idx="76">
                  <c:v>2026-06-19</c:v>
                </c:pt>
                <c:pt idx="77">
                  <c:v>2026-06-26</c:v>
                </c:pt>
                <c:pt idx="78">
                  <c:v>2026-07-03</c:v>
                </c:pt>
                <c:pt idx="79">
                  <c:v>2026-07-10</c:v>
                </c:pt>
                <c:pt idx="80">
                  <c:v>2026-07-17</c:v>
                </c:pt>
                <c:pt idx="81">
                  <c:v>2026-07-24</c:v>
                </c:pt>
                <c:pt idx="82">
                  <c:v>2026-07-31</c:v>
                </c:pt>
                <c:pt idx="83">
                  <c:v>2026-08-07</c:v>
                </c:pt>
                <c:pt idx="84">
                  <c:v>2026-08-14</c:v>
                </c:pt>
                <c:pt idx="85">
                  <c:v>2026-08-21</c:v>
                </c:pt>
                <c:pt idx="86">
                  <c:v>2026-08-28</c:v>
                </c:pt>
                <c:pt idx="87">
                  <c:v>2026-09-04</c:v>
                </c:pt>
                <c:pt idx="88">
                  <c:v>2026-09-11</c:v>
                </c:pt>
                <c:pt idx="89">
                  <c:v>2026-09-18</c:v>
                </c:pt>
                <c:pt idx="90">
                  <c:v>2026-09-25</c:v>
                </c:pt>
                <c:pt idx="91">
                  <c:v>2026-10-02</c:v>
                </c:pt>
                <c:pt idx="92">
                  <c:v>2026-10-09</c:v>
                </c:pt>
                <c:pt idx="93">
                  <c:v>2026-10-16</c:v>
                </c:pt>
                <c:pt idx="94">
                  <c:v>2026-10-23</c:v>
                </c:pt>
                <c:pt idx="95">
                  <c:v>2026-10-30</c:v>
                </c:pt>
                <c:pt idx="96">
                  <c:v>2026-11-06</c:v>
                </c:pt>
                <c:pt idx="97">
                  <c:v>2026-11-13</c:v>
                </c:pt>
                <c:pt idx="98">
                  <c:v>2026-11-20</c:v>
                </c:pt>
                <c:pt idx="99">
                  <c:v>2026-11-27</c:v>
                </c:pt>
                <c:pt idx="100">
                  <c:v>2026-12-04</c:v>
                </c:pt>
                <c:pt idx="101">
                  <c:v>2026-12-11</c:v>
                </c:pt>
                <c:pt idx="102">
                  <c:v>2026-12-18</c:v>
                </c:pt>
                <c:pt idx="103">
                  <c:v>2026-12-25</c:v>
                </c:pt>
                <c:pt idx="104">
                  <c:v>2027-01-01</c:v>
                </c:pt>
                <c:pt idx="105">
                  <c:v>2027-01-08</c:v>
                </c:pt>
                <c:pt idx="106">
                  <c:v>2027-01-15</c:v>
                </c:pt>
                <c:pt idx="107">
                  <c:v>2027-01-22</c:v>
                </c:pt>
                <c:pt idx="108">
                  <c:v>2027-01-29</c:v>
                </c:pt>
                <c:pt idx="109">
                  <c:v>2027-02-05</c:v>
                </c:pt>
                <c:pt idx="110">
                  <c:v>2027-02-12</c:v>
                </c:pt>
                <c:pt idx="111">
                  <c:v>2027-02-19</c:v>
                </c:pt>
                <c:pt idx="112">
                  <c:v>2027-02-26</c:v>
                </c:pt>
                <c:pt idx="113">
                  <c:v>2027-03-05</c:v>
                </c:pt>
                <c:pt idx="114">
                  <c:v>2027-03-12</c:v>
                </c:pt>
                <c:pt idx="115">
                  <c:v>2027-03-19</c:v>
                </c:pt>
                <c:pt idx="116">
                  <c:v>2027-03-26</c:v>
                </c:pt>
                <c:pt idx="117">
                  <c:v>2027-04-02</c:v>
                </c:pt>
                <c:pt idx="118">
                  <c:v>2027-04-09</c:v>
                </c:pt>
                <c:pt idx="119">
                  <c:v>2027-04-16</c:v>
                </c:pt>
                <c:pt idx="120">
                  <c:v>2027-04-23</c:v>
                </c:pt>
                <c:pt idx="121">
                  <c:v>2027-04-30</c:v>
                </c:pt>
                <c:pt idx="122">
                  <c:v>2027-05-07</c:v>
                </c:pt>
                <c:pt idx="123">
                  <c:v>2027-05-14</c:v>
                </c:pt>
                <c:pt idx="124">
                  <c:v>2027-05-21</c:v>
                </c:pt>
                <c:pt idx="125">
                  <c:v>2027-05-28</c:v>
                </c:pt>
                <c:pt idx="126">
                  <c:v>2027-06-04</c:v>
                </c:pt>
                <c:pt idx="127">
                  <c:v>2027-06-11</c:v>
                </c:pt>
                <c:pt idx="128">
                  <c:v>2027-06-18</c:v>
                </c:pt>
                <c:pt idx="129">
                  <c:v>2027-06-25</c:v>
                </c:pt>
                <c:pt idx="130">
                  <c:v>2027-07-02</c:v>
                </c:pt>
                <c:pt idx="131">
                  <c:v>2027-07-09</c:v>
                </c:pt>
                <c:pt idx="132">
                  <c:v>2027-07-16</c:v>
                </c:pt>
                <c:pt idx="133">
                  <c:v>2027-07-23</c:v>
                </c:pt>
                <c:pt idx="134">
                  <c:v>2027-07-30</c:v>
                </c:pt>
                <c:pt idx="135">
                  <c:v>2027-08-06</c:v>
                </c:pt>
                <c:pt idx="136">
                  <c:v>2027-08-13</c:v>
                </c:pt>
                <c:pt idx="137">
                  <c:v>2027-08-20</c:v>
                </c:pt>
                <c:pt idx="138">
                  <c:v>2027-08-27</c:v>
                </c:pt>
                <c:pt idx="139">
                  <c:v>2027-09-03</c:v>
                </c:pt>
                <c:pt idx="140">
                  <c:v>2027-09-10</c:v>
                </c:pt>
                <c:pt idx="141">
                  <c:v>2027-09-17</c:v>
                </c:pt>
                <c:pt idx="142">
                  <c:v>2027-09-24</c:v>
                </c:pt>
                <c:pt idx="143">
                  <c:v>2027-10-01</c:v>
                </c:pt>
                <c:pt idx="144">
                  <c:v>2027-10-08</c:v>
                </c:pt>
                <c:pt idx="145">
                  <c:v>2027-10-15</c:v>
                </c:pt>
                <c:pt idx="146">
                  <c:v>2027-10-22</c:v>
                </c:pt>
                <c:pt idx="147">
                  <c:v>2027-10-29</c:v>
                </c:pt>
                <c:pt idx="148">
                  <c:v>2027-11-05</c:v>
                </c:pt>
                <c:pt idx="149">
                  <c:v>2027-11-12</c:v>
                </c:pt>
                <c:pt idx="150">
                  <c:v>2027-11-19</c:v>
                </c:pt>
                <c:pt idx="151">
                  <c:v>2027-11-26</c:v>
                </c:pt>
                <c:pt idx="152">
                  <c:v>2027-12-03</c:v>
                </c:pt>
                <c:pt idx="153">
                  <c:v>2027-12-10</c:v>
                </c:pt>
                <c:pt idx="154">
                  <c:v>2027-12-17</c:v>
                </c:pt>
                <c:pt idx="155">
                  <c:v>2027-12-24</c:v>
                </c:pt>
                <c:pt idx="156">
                  <c:v>2027-12-31</c:v>
                </c:pt>
              </c:strCache>
            </c:strRef>
          </c:cat>
          <c:val>
            <c:numRef>
              <c:f>Instagram!$F$3:$F$159</c:f>
              <c:numCache>
                <c:formatCode>General</c:formatCode>
                <c:ptCount val="157"/>
                <c:pt idx="0">
                  <c:v>157</c:v>
                </c:pt>
                <c:pt idx="1">
                  <c:v>42</c:v>
                </c:pt>
                <c:pt idx="2">
                  <c:v>36</c:v>
                </c:pt>
                <c:pt idx="3">
                  <c:v>280</c:v>
                </c:pt>
                <c:pt idx="4">
                  <c:v>100500</c:v>
                </c:pt>
                <c:pt idx="5">
                  <c:v>359</c:v>
                </c:pt>
                <c:pt idx="6">
                  <c:v>158</c:v>
                </c:pt>
                <c:pt idx="7">
                  <c:v>73</c:v>
                </c:pt>
                <c:pt idx="8">
                  <c:v>38</c:v>
                </c:pt>
                <c:pt idx="9">
                  <c:v>30</c:v>
                </c:pt>
                <c:pt idx="10">
                  <c:v>86</c:v>
                </c:pt>
                <c:pt idx="11">
                  <c:v>418</c:v>
                </c:pt>
                <c:pt idx="12">
                  <c:v>113</c:v>
                </c:pt>
                <c:pt idx="13">
                  <c:v>7</c:v>
                </c:pt>
                <c:pt idx="14">
                  <c:v>101</c:v>
                </c:pt>
                <c:pt idx="15">
                  <c:v>212</c:v>
                </c:pt>
                <c:pt idx="16">
                  <c:v>274</c:v>
                </c:pt>
                <c:pt idx="17">
                  <c:v>67</c:v>
                </c:pt>
                <c:pt idx="18">
                  <c:v>125</c:v>
                </c:pt>
                <c:pt idx="19">
                  <c:v>25</c:v>
                </c:pt>
                <c:pt idx="20">
                  <c:v>272</c:v>
                </c:pt>
                <c:pt idx="21">
                  <c:v>121</c:v>
                </c:pt>
                <c:pt idx="22">
                  <c:v>78</c:v>
                </c:pt>
                <c:pt idx="23">
                  <c:v>89</c:v>
                </c:pt>
                <c:pt idx="24">
                  <c:v>90</c:v>
                </c:pt>
                <c:pt idx="25">
                  <c:v>70</c:v>
                </c:pt>
                <c:pt idx="26">
                  <c:v>30</c:v>
                </c:pt>
                <c:pt idx="27">
                  <c:v>45</c:v>
                </c:pt>
                <c:pt idx="28">
                  <c:v>43</c:v>
                </c:pt>
                <c:pt idx="29">
                  <c:v>65</c:v>
                </c:pt>
                <c:pt idx="30">
                  <c:v>55</c:v>
                </c:pt>
                <c:pt idx="31">
                  <c:v>34</c:v>
                </c:pt>
                <c:pt idx="32">
                  <c:v>20</c:v>
                </c:pt>
                <c:pt idx="33">
                  <c:v>11</c:v>
                </c:pt>
                <c:pt idx="34">
                  <c:v>11</c:v>
                </c:pt>
                <c:pt idx="35">
                  <c:v>13</c:v>
                </c:pt>
                <c:pt idx="36">
                  <c:v>35</c:v>
                </c:pt>
                <c:pt idx="37">
                  <c:v>15</c:v>
                </c:pt>
                <c:pt idx="38">
                  <c:v>426</c:v>
                </c:pt>
                <c:pt idx="39">
                  <c:v>230</c:v>
                </c:pt>
                <c:pt idx="40">
                  <c:v>112</c:v>
                </c:pt>
                <c:pt idx="41">
                  <c:v>111</c:v>
                </c:pt>
                <c:pt idx="42">
                  <c:v>90</c:v>
                </c:pt>
                <c:pt idx="43">
                  <c:v>100</c:v>
                </c:pt>
                <c:pt idx="44">
                  <c:v>300</c:v>
                </c:pt>
                <c:pt idx="45">
                  <c:v>78</c:v>
                </c:pt>
                <c:pt idx="46">
                  <c:v>60</c:v>
                </c:pt>
                <c:pt idx="47">
                  <c:v>59</c:v>
                </c:pt>
                <c:pt idx="48">
                  <c:v>40</c:v>
                </c:pt>
                <c:pt idx="49">
                  <c:v>45</c:v>
                </c:pt>
                <c:pt idx="50">
                  <c:v>34</c:v>
                </c:pt>
                <c:pt idx="51">
                  <c:v>35</c:v>
                </c:pt>
                <c:pt idx="52">
                  <c:v>33</c:v>
                </c:pt>
                <c:pt idx="53">
                  <c:v>25</c:v>
                </c:pt>
                <c:pt idx="54">
                  <c:v>22</c:v>
                </c:pt>
                <c:pt idx="55">
                  <c:v>30</c:v>
                </c:pt>
                <c:pt idx="56">
                  <c:v>45</c:v>
                </c:pt>
                <c:pt idx="57">
                  <c:v>54</c:v>
                </c:pt>
                <c:pt idx="58">
                  <c:v>33</c:v>
                </c:pt>
                <c:pt idx="59">
                  <c:v>44</c:v>
                </c:pt>
                <c:pt idx="60">
                  <c:v>25</c:v>
                </c:pt>
                <c:pt idx="61">
                  <c:v>26</c:v>
                </c:pt>
                <c:pt idx="62">
                  <c:v>16</c:v>
                </c:pt>
                <c:pt idx="63">
                  <c:v>54</c:v>
                </c:pt>
                <c:pt idx="64">
                  <c:v>17</c:v>
                </c:pt>
                <c:pt idx="65">
                  <c:v>34</c:v>
                </c:pt>
                <c:pt idx="66">
                  <c:v>22</c:v>
                </c:pt>
                <c:pt idx="67">
                  <c:v>16</c:v>
                </c:pt>
                <c:pt idx="68">
                  <c:v>17</c:v>
                </c:pt>
                <c:pt idx="69">
                  <c:v>27</c:v>
                </c:pt>
                <c:pt idx="70">
                  <c:v>34</c:v>
                </c:pt>
                <c:pt idx="71">
                  <c:v>27</c:v>
                </c:pt>
                <c:pt idx="72">
                  <c:v>20</c:v>
                </c:pt>
                <c:pt idx="73">
                  <c:v>35</c:v>
                </c:pt>
                <c:pt idx="74">
                  <c:v>43</c:v>
                </c:pt>
                <c:pt idx="75">
                  <c:v>44</c:v>
                </c:pt>
                <c:pt idx="76">
                  <c:v>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948436"/>
        <c:axId val="29985746"/>
      </c:lineChart>
      <c:catAx>
        <c:axId val="199484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85746"/>
        <c:crosses val="autoZero"/>
        <c:auto val="1"/>
        <c:lblAlgn val="ctr"/>
        <c:lblOffset val="100"/>
        <c:noMultiLvlLbl val="0"/>
      </c:catAx>
      <c:valAx>
        <c:axId val="299857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484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Selected Channel Trend (updates when you change the dropdown above)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Dashboard!C72</c:f>
              <c:strCache>
                <c:ptCount val="1"/>
                <c:pt idx="0">
                  <c:v>Primary Metric (Reach / Visitors / Views)</c:v>
                </c:pt>
              </c:strCache>
            </c:strRef>
          </c:tx>
          <c:spPr>
            <a:solidFill>
              <a:srgbClr val="426fa6"/>
            </a:solidFill>
            <a:ln w="4752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Dashboard!$B$73:$B$229</c:f>
              <c:strCache>
                <c:ptCount val="157"/>
                <c:pt idx="0">
                  <c:v>2025-01-03</c:v>
                </c:pt>
                <c:pt idx="1">
                  <c:v>2025-01-10</c:v>
                </c:pt>
                <c:pt idx="2">
                  <c:v>2025-01-17</c:v>
                </c:pt>
                <c:pt idx="3">
                  <c:v>2025-01-24</c:v>
                </c:pt>
                <c:pt idx="4">
                  <c:v>2025-01-31</c:v>
                </c:pt>
                <c:pt idx="5">
                  <c:v>2025-02-07</c:v>
                </c:pt>
                <c:pt idx="6">
                  <c:v>2025-02-14</c:v>
                </c:pt>
                <c:pt idx="7">
                  <c:v>2025-02-21</c:v>
                </c:pt>
                <c:pt idx="8">
                  <c:v>2025-02-28</c:v>
                </c:pt>
                <c:pt idx="9">
                  <c:v>2025-03-07</c:v>
                </c:pt>
                <c:pt idx="10">
                  <c:v>2025-03-14</c:v>
                </c:pt>
                <c:pt idx="11">
                  <c:v>2025-03-21</c:v>
                </c:pt>
                <c:pt idx="12">
                  <c:v>2025-03-28</c:v>
                </c:pt>
                <c:pt idx="13">
                  <c:v>2025-04-04</c:v>
                </c:pt>
                <c:pt idx="14">
                  <c:v>2025-04-11</c:v>
                </c:pt>
                <c:pt idx="15">
                  <c:v>2025-04-18</c:v>
                </c:pt>
                <c:pt idx="16">
                  <c:v>2025-04-25</c:v>
                </c:pt>
                <c:pt idx="17">
                  <c:v>2025-05-02</c:v>
                </c:pt>
                <c:pt idx="18">
                  <c:v>2025-05-09</c:v>
                </c:pt>
                <c:pt idx="19">
                  <c:v>2025-05-16</c:v>
                </c:pt>
                <c:pt idx="20">
                  <c:v>2025-05-23</c:v>
                </c:pt>
                <c:pt idx="21">
                  <c:v>2025-05-30</c:v>
                </c:pt>
                <c:pt idx="22">
                  <c:v>2025-06-06</c:v>
                </c:pt>
                <c:pt idx="23">
                  <c:v>2025-06-13</c:v>
                </c:pt>
                <c:pt idx="24">
                  <c:v>2025-06-20</c:v>
                </c:pt>
                <c:pt idx="25">
                  <c:v>2025-06-27</c:v>
                </c:pt>
                <c:pt idx="26">
                  <c:v>2025-07-04</c:v>
                </c:pt>
                <c:pt idx="27">
                  <c:v>2025-07-11</c:v>
                </c:pt>
                <c:pt idx="28">
                  <c:v>2025-07-18</c:v>
                </c:pt>
                <c:pt idx="29">
                  <c:v>2025-07-25</c:v>
                </c:pt>
                <c:pt idx="30">
                  <c:v>2025-08-01</c:v>
                </c:pt>
                <c:pt idx="31">
                  <c:v>2025-08-08</c:v>
                </c:pt>
                <c:pt idx="32">
                  <c:v>2025-08-15</c:v>
                </c:pt>
                <c:pt idx="33">
                  <c:v>2025-08-22</c:v>
                </c:pt>
                <c:pt idx="34">
                  <c:v>2025-08-29</c:v>
                </c:pt>
                <c:pt idx="35">
                  <c:v>2025-09-05</c:v>
                </c:pt>
                <c:pt idx="36">
                  <c:v>2025-09-12</c:v>
                </c:pt>
                <c:pt idx="37">
                  <c:v>2025-09-19</c:v>
                </c:pt>
                <c:pt idx="38">
                  <c:v>2025-09-26</c:v>
                </c:pt>
                <c:pt idx="39">
                  <c:v>2025-10-03</c:v>
                </c:pt>
                <c:pt idx="40">
                  <c:v>2025-10-10</c:v>
                </c:pt>
                <c:pt idx="41">
                  <c:v>2025-10-17</c:v>
                </c:pt>
                <c:pt idx="42">
                  <c:v>2025-10-24</c:v>
                </c:pt>
                <c:pt idx="43">
                  <c:v>2025-10-31</c:v>
                </c:pt>
                <c:pt idx="44">
                  <c:v>2025-11-07</c:v>
                </c:pt>
                <c:pt idx="45">
                  <c:v>2025-11-14</c:v>
                </c:pt>
                <c:pt idx="46">
                  <c:v>2025-11-21</c:v>
                </c:pt>
                <c:pt idx="47">
                  <c:v>2025-11-28</c:v>
                </c:pt>
                <c:pt idx="48">
                  <c:v>2025-12-05</c:v>
                </c:pt>
                <c:pt idx="49">
                  <c:v>2025-12-12</c:v>
                </c:pt>
                <c:pt idx="50">
                  <c:v>2025-12-19</c:v>
                </c:pt>
                <c:pt idx="51">
                  <c:v>2025-12-26</c:v>
                </c:pt>
                <c:pt idx="52">
                  <c:v>2026-01-02</c:v>
                </c:pt>
                <c:pt idx="53">
                  <c:v>2026-01-09</c:v>
                </c:pt>
                <c:pt idx="54">
                  <c:v>2026-01-16</c:v>
                </c:pt>
                <c:pt idx="55">
                  <c:v>2026-01-23</c:v>
                </c:pt>
                <c:pt idx="56">
                  <c:v>2026-01-30</c:v>
                </c:pt>
                <c:pt idx="57">
                  <c:v>2026-02-06</c:v>
                </c:pt>
                <c:pt idx="58">
                  <c:v>2026-02-13</c:v>
                </c:pt>
                <c:pt idx="59">
                  <c:v>2026-02-20</c:v>
                </c:pt>
                <c:pt idx="60">
                  <c:v>2026-02-27</c:v>
                </c:pt>
                <c:pt idx="61">
                  <c:v>2026-03-06</c:v>
                </c:pt>
                <c:pt idx="62">
                  <c:v>2026-03-13</c:v>
                </c:pt>
                <c:pt idx="63">
                  <c:v>2026-03-20</c:v>
                </c:pt>
                <c:pt idx="64">
                  <c:v>2026-03-27</c:v>
                </c:pt>
                <c:pt idx="65">
                  <c:v>2026-04-03</c:v>
                </c:pt>
                <c:pt idx="66">
                  <c:v>2026-04-10</c:v>
                </c:pt>
                <c:pt idx="67">
                  <c:v>2026-04-17</c:v>
                </c:pt>
                <c:pt idx="68">
                  <c:v>2026-04-24</c:v>
                </c:pt>
                <c:pt idx="69">
                  <c:v>2026-05-01</c:v>
                </c:pt>
                <c:pt idx="70">
                  <c:v>2026-05-08</c:v>
                </c:pt>
                <c:pt idx="71">
                  <c:v>2026-05-15</c:v>
                </c:pt>
                <c:pt idx="72">
                  <c:v>2026-05-22</c:v>
                </c:pt>
                <c:pt idx="73">
                  <c:v>2026-05-29</c:v>
                </c:pt>
                <c:pt idx="74">
                  <c:v>2026-06-05</c:v>
                </c:pt>
                <c:pt idx="75">
                  <c:v>2026-06-12</c:v>
                </c:pt>
                <c:pt idx="76">
                  <c:v>2026-06-19</c:v>
                </c:pt>
                <c:pt idx="77">
                  <c:v>2026-06-26</c:v>
                </c:pt>
                <c:pt idx="78">
                  <c:v>2026-07-03</c:v>
                </c:pt>
                <c:pt idx="79">
                  <c:v>2026-07-10</c:v>
                </c:pt>
                <c:pt idx="80">
                  <c:v>2026-07-17</c:v>
                </c:pt>
                <c:pt idx="81">
                  <c:v>2026-07-24</c:v>
                </c:pt>
                <c:pt idx="82">
                  <c:v>2026-07-31</c:v>
                </c:pt>
                <c:pt idx="83">
                  <c:v>2026-08-07</c:v>
                </c:pt>
                <c:pt idx="84">
                  <c:v>2026-08-14</c:v>
                </c:pt>
                <c:pt idx="85">
                  <c:v>2026-08-21</c:v>
                </c:pt>
                <c:pt idx="86">
                  <c:v>2026-08-28</c:v>
                </c:pt>
                <c:pt idx="87">
                  <c:v>2026-09-04</c:v>
                </c:pt>
                <c:pt idx="88">
                  <c:v>2026-09-11</c:v>
                </c:pt>
                <c:pt idx="89">
                  <c:v>2026-09-18</c:v>
                </c:pt>
                <c:pt idx="90">
                  <c:v>2026-09-25</c:v>
                </c:pt>
                <c:pt idx="91">
                  <c:v>2026-10-02</c:v>
                </c:pt>
                <c:pt idx="92">
                  <c:v>2026-10-09</c:v>
                </c:pt>
                <c:pt idx="93">
                  <c:v>2026-10-16</c:v>
                </c:pt>
                <c:pt idx="94">
                  <c:v>2026-10-23</c:v>
                </c:pt>
                <c:pt idx="95">
                  <c:v>2026-10-30</c:v>
                </c:pt>
                <c:pt idx="96">
                  <c:v>2026-11-06</c:v>
                </c:pt>
                <c:pt idx="97">
                  <c:v>2026-11-13</c:v>
                </c:pt>
                <c:pt idx="98">
                  <c:v>2026-11-20</c:v>
                </c:pt>
                <c:pt idx="99">
                  <c:v>2026-11-27</c:v>
                </c:pt>
                <c:pt idx="100">
                  <c:v>2026-12-04</c:v>
                </c:pt>
                <c:pt idx="101">
                  <c:v>2026-12-11</c:v>
                </c:pt>
                <c:pt idx="102">
                  <c:v>2026-12-18</c:v>
                </c:pt>
                <c:pt idx="103">
                  <c:v>2026-12-25</c:v>
                </c:pt>
                <c:pt idx="104">
                  <c:v>2027-01-01</c:v>
                </c:pt>
                <c:pt idx="105">
                  <c:v>2027-01-08</c:v>
                </c:pt>
                <c:pt idx="106">
                  <c:v>2027-01-15</c:v>
                </c:pt>
                <c:pt idx="107">
                  <c:v>2027-01-22</c:v>
                </c:pt>
                <c:pt idx="108">
                  <c:v>2027-01-29</c:v>
                </c:pt>
                <c:pt idx="109">
                  <c:v>2027-02-05</c:v>
                </c:pt>
                <c:pt idx="110">
                  <c:v>2027-02-12</c:v>
                </c:pt>
                <c:pt idx="111">
                  <c:v>2027-02-19</c:v>
                </c:pt>
                <c:pt idx="112">
                  <c:v>2027-02-26</c:v>
                </c:pt>
                <c:pt idx="113">
                  <c:v>2027-03-05</c:v>
                </c:pt>
                <c:pt idx="114">
                  <c:v>2027-03-12</c:v>
                </c:pt>
                <c:pt idx="115">
                  <c:v>2027-03-19</c:v>
                </c:pt>
                <c:pt idx="116">
                  <c:v>2027-03-26</c:v>
                </c:pt>
                <c:pt idx="117">
                  <c:v>2027-04-02</c:v>
                </c:pt>
                <c:pt idx="118">
                  <c:v>2027-04-09</c:v>
                </c:pt>
                <c:pt idx="119">
                  <c:v>2027-04-16</c:v>
                </c:pt>
                <c:pt idx="120">
                  <c:v>2027-04-23</c:v>
                </c:pt>
                <c:pt idx="121">
                  <c:v>2027-04-30</c:v>
                </c:pt>
                <c:pt idx="122">
                  <c:v>2027-05-07</c:v>
                </c:pt>
                <c:pt idx="123">
                  <c:v>2027-05-14</c:v>
                </c:pt>
                <c:pt idx="124">
                  <c:v>2027-05-21</c:v>
                </c:pt>
                <c:pt idx="125">
                  <c:v>2027-05-28</c:v>
                </c:pt>
                <c:pt idx="126">
                  <c:v>2027-06-04</c:v>
                </c:pt>
                <c:pt idx="127">
                  <c:v>2027-06-11</c:v>
                </c:pt>
                <c:pt idx="128">
                  <c:v>2027-06-18</c:v>
                </c:pt>
                <c:pt idx="129">
                  <c:v>2027-06-25</c:v>
                </c:pt>
                <c:pt idx="130">
                  <c:v>2027-07-02</c:v>
                </c:pt>
                <c:pt idx="131">
                  <c:v>2027-07-09</c:v>
                </c:pt>
                <c:pt idx="132">
                  <c:v>2027-07-16</c:v>
                </c:pt>
                <c:pt idx="133">
                  <c:v>2027-07-23</c:v>
                </c:pt>
                <c:pt idx="134">
                  <c:v>2027-07-30</c:v>
                </c:pt>
                <c:pt idx="135">
                  <c:v>2027-08-06</c:v>
                </c:pt>
                <c:pt idx="136">
                  <c:v>2027-08-13</c:v>
                </c:pt>
                <c:pt idx="137">
                  <c:v>2027-08-20</c:v>
                </c:pt>
                <c:pt idx="138">
                  <c:v>2027-08-27</c:v>
                </c:pt>
                <c:pt idx="139">
                  <c:v>2027-09-03</c:v>
                </c:pt>
                <c:pt idx="140">
                  <c:v>2027-09-10</c:v>
                </c:pt>
                <c:pt idx="141">
                  <c:v>2027-09-17</c:v>
                </c:pt>
                <c:pt idx="142">
                  <c:v>2027-09-24</c:v>
                </c:pt>
                <c:pt idx="143">
                  <c:v>2027-10-01</c:v>
                </c:pt>
                <c:pt idx="144">
                  <c:v>2027-10-08</c:v>
                </c:pt>
                <c:pt idx="145">
                  <c:v>2027-10-15</c:v>
                </c:pt>
                <c:pt idx="146">
                  <c:v>2027-10-22</c:v>
                </c:pt>
                <c:pt idx="147">
                  <c:v>2027-10-29</c:v>
                </c:pt>
                <c:pt idx="148">
                  <c:v>2027-11-05</c:v>
                </c:pt>
                <c:pt idx="149">
                  <c:v>2027-11-12</c:v>
                </c:pt>
                <c:pt idx="150">
                  <c:v>2027-11-19</c:v>
                </c:pt>
                <c:pt idx="151">
                  <c:v>2027-11-26</c:v>
                </c:pt>
                <c:pt idx="152">
                  <c:v>2027-12-03</c:v>
                </c:pt>
                <c:pt idx="153">
                  <c:v>2027-12-10</c:v>
                </c:pt>
                <c:pt idx="154">
                  <c:v>2027-12-17</c:v>
                </c:pt>
                <c:pt idx="155">
                  <c:v>2027-12-24</c:v>
                </c:pt>
                <c:pt idx="156">
                  <c:v>2027-12-31</c:v>
                </c:pt>
              </c:strCache>
            </c:strRef>
          </c:cat>
          <c:val>
            <c:numRef>
              <c:f>Dashboard!$C$73:$C$229</c:f>
              <c:numCache>
                <c:formatCode>General</c:formatCode>
                <c:ptCount val="157"/>
                <c:pt idx="0">
                  <c:v>219</c:v>
                </c:pt>
                <c:pt idx="1">
                  <c:v>198</c:v>
                </c:pt>
                <c:pt idx="2">
                  <c:v>199</c:v>
                </c:pt>
                <c:pt idx="3">
                  <c:v>2783</c:v>
                </c:pt>
                <c:pt idx="4">
                  <c:v>8700</c:v>
                </c:pt>
                <c:pt idx="5">
                  <c:v>147</c:v>
                </c:pt>
                <c:pt idx="6">
                  <c:v>100</c:v>
                </c:pt>
                <c:pt idx="7">
                  <c:v>26</c:v>
                </c:pt>
                <c:pt idx="8">
                  <c:v>10</c:v>
                </c:pt>
                <c:pt idx="9">
                  <c:v>5</c:v>
                </c:pt>
                <c:pt idx="10">
                  <c:v>101</c:v>
                </c:pt>
                <c:pt idx="11">
                  <c:v>1164</c:v>
                </c:pt>
                <c:pt idx="12">
                  <c:v>1292</c:v>
                </c:pt>
                <c:pt idx="13">
                  <c:v>1901</c:v>
                </c:pt>
                <c:pt idx="14">
                  <c:v>395</c:v>
                </c:pt>
                <c:pt idx="15">
                  <c:v>440</c:v>
                </c:pt>
                <c:pt idx="16">
                  <c:v>806</c:v>
                </c:pt>
                <c:pt idx="17">
                  <c:v>1193</c:v>
                </c:pt>
                <c:pt idx="18">
                  <c:v>33</c:v>
                </c:pt>
                <c:pt idx="19">
                  <c:v>244</c:v>
                </c:pt>
                <c:pt idx="20">
                  <c:v>52</c:v>
                </c:pt>
                <c:pt idx="21">
                  <c:v>50</c:v>
                </c:pt>
                <c:pt idx="22">
                  <c:v>55</c:v>
                </c:pt>
                <c:pt idx="23">
                  <c:v>34</c:v>
                </c:pt>
                <c:pt idx="24">
                  <c:v>56</c:v>
                </c:pt>
                <c:pt idx="25">
                  <c:v>50</c:v>
                </c:pt>
                <c:pt idx="26">
                  <c:v>34</c:v>
                </c:pt>
                <c:pt idx="27">
                  <c:v>32</c:v>
                </c:pt>
                <c:pt idx="28">
                  <c:v>43</c:v>
                </c:pt>
                <c:pt idx="29">
                  <c:v>23</c:v>
                </c:pt>
                <c:pt idx="30">
                  <c:v>45</c:v>
                </c:pt>
                <c:pt idx="31">
                  <c:v>24</c:v>
                </c:pt>
                <c:pt idx="32">
                  <c:v>23</c:v>
                </c:pt>
                <c:pt idx="33">
                  <c:v>1</c:v>
                </c:pt>
                <c:pt idx="34">
                  <c:v>10</c:v>
                </c:pt>
                <c:pt idx="35">
                  <c:v>9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11</c:v>
                </c:pt>
                <c:pt idx="40">
                  <c:v>12</c:v>
                </c:pt>
                <c:pt idx="41">
                  <c:v>13</c:v>
                </c:pt>
                <c:pt idx="42">
                  <c:v>100</c:v>
                </c:pt>
                <c:pt idx="43">
                  <c:v>90</c:v>
                </c:pt>
                <c:pt idx="44">
                  <c:v>200</c:v>
                </c:pt>
                <c:pt idx="45">
                  <c:v>90</c:v>
                </c:pt>
                <c:pt idx="46">
                  <c:v>70</c:v>
                </c:pt>
                <c:pt idx="47">
                  <c:v>24</c:v>
                </c:pt>
                <c:pt idx="48">
                  <c:v>40</c:v>
                </c:pt>
                <c:pt idx="49">
                  <c:v>30</c:v>
                </c:pt>
                <c:pt idx="50">
                  <c:v>40</c:v>
                </c:pt>
                <c:pt idx="51">
                  <c:v>20</c:v>
                </c:pt>
                <c:pt idx="52">
                  <c:v>25</c:v>
                </c:pt>
                <c:pt idx="53">
                  <c:v>23</c:v>
                </c:pt>
                <c:pt idx="54">
                  <c:v>30</c:v>
                </c:pt>
                <c:pt idx="55">
                  <c:v>25</c:v>
                </c:pt>
                <c:pt idx="56">
                  <c:v>20</c:v>
                </c:pt>
                <c:pt idx="57">
                  <c:v>40</c:v>
                </c:pt>
                <c:pt idx="58">
                  <c:v>34</c:v>
                </c:pt>
                <c:pt idx="59">
                  <c:v>26</c:v>
                </c:pt>
                <c:pt idx="60">
                  <c:v>23</c:v>
                </c:pt>
                <c:pt idx="61">
                  <c:v>20</c:v>
                </c:pt>
                <c:pt idx="62">
                  <c:v>15</c:v>
                </c:pt>
                <c:pt idx="63">
                  <c:v>13</c:v>
                </c:pt>
                <c:pt idx="64">
                  <c:v>14</c:v>
                </c:pt>
                <c:pt idx="65">
                  <c:v>12</c:v>
                </c:pt>
                <c:pt idx="66">
                  <c:v>17</c:v>
                </c:pt>
                <c:pt idx="67">
                  <c:v>40</c:v>
                </c:pt>
                <c:pt idx="68">
                  <c:v>35</c:v>
                </c:pt>
                <c:pt idx="69">
                  <c:v>45</c:v>
                </c:pt>
                <c:pt idx="70">
                  <c:v>34</c:v>
                </c:pt>
                <c:pt idx="71">
                  <c:v>23</c:v>
                </c:pt>
                <c:pt idx="72">
                  <c:v>27</c:v>
                </c:pt>
                <c:pt idx="73">
                  <c:v>18</c:v>
                </c:pt>
                <c:pt idx="74">
                  <c:v>21</c:v>
                </c:pt>
                <c:pt idx="75">
                  <c:v>50</c:v>
                </c:pt>
                <c:pt idx="76">
                  <c:v>13</c:v>
                </c:pt>
                <c:pt idx="77">
                  <c:v>20</c:v>
                </c:pt>
                <c:pt idx="78">
                  <c:v>21</c:v>
                </c:pt>
                <c:pt idx="79">
                  <c:v>14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Dashboard!D72</c:f>
              <c:strCache>
                <c:ptCount val="1"/>
                <c:pt idx="0">
                  <c:v>Secondary Metric (Engagement / Conversions / Bookings)</c:v>
                </c:pt>
              </c:strCache>
            </c:strRef>
          </c:tx>
          <c:spPr>
            <a:solidFill>
              <a:srgbClr val="8ea5ca"/>
            </a:solidFill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Dashboard!$B$73:$B$229</c:f>
              <c:strCache>
                <c:ptCount val="157"/>
                <c:pt idx="0">
                  <c:v>2025-01-03</c:v>
                </c:pt>
                <c:pt idx="1">
                  <c:v>2025-01-10</c:v>
                </c:pt>
                <c:pt idx="2">
                  <c:v>2025-01-17</c:v>
                </c:pt>
                <c:pt idx="3">
                  <c:v>2025-01-24</c:v>
                </c:pt>
                <c:pt idx="4">
                  <c:v>2025-01-31</c:v>
                </c:pt>
                <c:pt idx="5">
                  <c:v>2025-02-07</c:v>
                </c:pt>
                <c:pt idx="6">
                  <c:v>2025-02-14</c:v>
                </c:pt>
                <c:pt idx="7">
                  <c:v>2025-02-21</c:v>
                </c:pt>
                <c:pt idx="8">
                  <c:v>2025-02-28</c:v>
                </c:pt>
                <c:pt idx="9">
                  <c:v>2025-03-07</c:v>
                </c:pt>
                <c:pt idx="10">
                  <c:v>2025-03-14</c:v>
                </c:pt>
                <c:pt idx="11">
                  <c:v>2025-03-21</c:v>
                </c:pt>
                <c:pt idx="12">
                  <c:v>2025-03-28</c:v>
                </c:pt>
                <c:pt idx="13">
                  <c:v>2025-04-04</c:v>
                </c:pt>
                <c:pt idx="14">
                  <c:v>2025-04-11</c:v>
                </c:pt>
                <c:pt idx="15">
                  <c:v>2025-04-18</c:v>
                </c:pt>
                <c:pt idx="16">
                  <c:v>2025-04-25</c:v>
                </c:pt>
                <c:pt idx="17">
                  <c:v>2025-05-02</c:v>
                </c:pt>
                <c:pt idx="18">
                  <c:v>2025-05-09</c:v>
                </c:pt>
                <c:pt idx="19">
                  <c:v>2025-05-16</c:v>
                </c:pt>
                <c:pt idx="20">
                  <c:v>2025-05-23</c:v>
                </c:pt>
                <c:pt idx="21">
                  <c:v>2025-05-30</c:v>
                </c:pt>
                <c:pt idx="22">
                  <c:v>2025-06-06</c:v>
                </c:pt>
                <c:pt idx="23">
                  <c:v>2025-06-13</c:v>
                </c:pt>
                <c:pt idx="24">
                  <c:v>2025-06-20</c:v>
                </c:pt>
                <c:pt idx="25">
                  <c:v>2025-06-27</c:v>
                </c:pt>
                <c:pt idx="26">
                  <c:v>2025-07-04</c:v>
                </c:pt>
                <c:pt idx="27">
                  <c:v>2025-07-11</c:v>
                </c:pt>
                <c:pt idx="28">
                  <c:v>2025-07-18</c:v>
                </c:pt>
                <c:pt idx="29">
                  <c:v>2025-07-25</c:v>
                </c:pt>
                <c:pt idx="30">
                  <c:v>2025-08-01</c:v>
                </c:pt>
                <c:pt idx="31">
                  <c:v>2025-08-08</c:v>
                </c:pt>
                <c:pt idx="32">
                  <c:v>2025-08-15</c:v>
                </c:pt>
                <c:pt idx="33">
                  <c:v>2025-08-22</c:v>
                </c:pt>
                <c:pt idx="34">
                  <c:v>2025-08-29</c:v>
                </c:pt>
                <c:pt idx="35">
                  <c:v>2025-09-05</c:v>
                </c:pt>
                <c:pt idx="36">
                  <c:v>2025-09-12</c:v>
                </c:pt>
                <c:pt idx="37">
                  <c:v>2025-09-19</c:v>
                </c:pt>
                <c:pt idx="38">
                  <c:v>2025-09-26</c:v>
                </c:pt>
                <c:pt idx="39">
                  <c:v>2025-10-03</c:v>
                </c:pt>
                <c:pt idx="40">
                  <c:v>2025-10-10</c:v>
                </c:pt>
                <c:pt idx="41">
                  <c:v>2025-10-17</c:v>
                </c:pt>
                <c:pt idx="42">
                  <c:v>2025-10-24</c:v>
                </c:pt>
                <c:pt idx="43">
                  <c:v>2025-10-31</c:v>
                </c:pt>
                <c:pt idx="44">
                  <c:v>2025-11-07</c:v>
                </c:pt>
                <c:pt idx="45">
                  <c:v>2025-11-14</c:v>
                </c:pt>
                <c:pt idx="46">
                  <c:v>2025-11-21</c:v>
                </c:pt>
                <c:pt idx="47">
                  <c:v>2025-11-28</c:v>
                </c:pt>
                <c:pt idx="48">
                  <c:v>2025-12-05</c:v>
                </c:pt>
                <c:pt idx="49">
                  <c:v>2025-12-12</c:v>
                </c:pt>
                <c:pt idx="50">
                  <c:v>2025-12-19</c:v>
                </c:pt>
                <c:pt idx="51">
                  <c:v>2025-12-26</c:v>
                </c:pt>
                <c:pt idx="52">
                  <c:v>2026-01-02</c:v>
                </c:pt>
                <c:pt idx="53">
                  <c:v>2026-01-09</c:v>
                </c:pt>
                <c:pt idx="54">
                  <c:v>2026-01-16</c:v>
                </c:pt>
                <c:pt idx="55">
                  <c:v>2026-01-23</c:v>
                </c:pt>
                <c:pt idx="56">
                  <c:v>2026-01-30</c:v>
                </c:pt>
                <c:pt idx="57">
                  <c:v>2026-02-06</c:v>
                </c:pt>
                <c:pt idx="58">
                  <c:v>2026-02-13</c:v>
                </c:pt>
                <c:pt idx="59">
                  <c:v>2026-02-20</c:v>
                </c:pt>
                <c:pt idx="60">
                  <c:v>2026-02-27</c:v>
                </c:pt>
                <c:pt idx="61">
                  <c:v>2026-03-06</c:v>
                </c:pt>
                <c:pt idx="62">
                  <c:v>2026-03-13</c:v>
                </c:pt>
                <c:pt idx="63">
                  <c:v>2026-03-20</c:v>
                </c:pt>
                <c:pt idx="64">
                  <c:v>2026-03-27</c:v>
                </c:pt>
                <c:pt idx="65">
                  <c:v>2026-04-03</c:v>
                </c:pt>
                <c:pt idx="66">
                  <c:v>2026-04-10</c:v>
                </c:pt>
                <c:pt idx="67">
                  <c:v>2026-04-17</c:v>
                </c:pt>
                <c:pt idx="68">
                  <c:v>2026-04-24</c:v>
                </c:pt>
                <c:pt idx="69">
                  <c:v>2026-05-01</c:v>
                </c:pt>
                <c:pt idx="70">
                  <c:v>2026-05-08</c:v>
                </c:pt>
                <c:pt idx="71">
                  <c:v>2026-05-15</c:v>
                </c:pt>
                <c:pt idx="72">
                  <c:v>2026-05-22</c:v>
                </c:pt>
                <c:pt idx="73">
                  <c:v>2026-05-29</c:v>
                </c:pt>
                <c:pt idx="74">
                  <c:v>2026-06-05</c:v>
                </c:pt>
                <c:pt idx="75">
                  <c:v>2026-06-12</c:v>
                </c:pt>
                <c:pt idx="76">
                  <c:v>2026-06-19</c:v>
                </c:pt>
                <c:pt idx="77">
                  <c:v>2026-06-26</c:v>
                </c:pt>
                <c:pt idx="78">
                  <c:v>2026-07-03</c:v>
                </c:pt>
                <c:pt idx="79">
                  <c:v>2026-07-10</c:v>
                </c:pt>
                <c:pt idx="80">
                  <c:v>2026-07-17</c:v>
                </c:pt>
                <c:pt idx="81">
                  <c:v>2026-07-24</c:v>
                </c:pt>
                <c:pt idx="82">
                  <c:v>2026-07-31</c:v>
                </c:pt>
                <c:pt idx="83">
                  <c:v>2026-08-07</c:v>
                </c:pt>
                <c:pt idx="84">
                  <c:v>2026-08-14</c:v>
                </c:pt>
                <c:pt idx="85">
                  <c:v>2026-08-21</c:v>
                </c:pt>
                <c:pt idx="86">
                  <c:v>2026-08-28</c:v>
                </c:pt>
                <c:pt idx="87">
                  <c:v>2026-09-04</c:v>
                </c:pt>
                <c:pt idx="88">
                  <c:v>2026-09-11</c:v>
                </c:pt>
                <c:pt idx="89">
                  <c:v>2026-09-18</c:v>
                </c:pt>
                <c:pt idx="90">
                  <c:v>2026-09-25</c:v>
                </c:pt>
                <c:pt idx="91">
                  <c:v>2026-10-02</c:v>
                </c:pt>
                <c:pt idx="92">
                  <c:v>2026-10-09</c:v>
                </c:pt>
                <c:pt idx="93">
                  <c:v>2026-10-16</c:v>
                </c:pt>
                <c:pt idx="94">
                  <c:v>2026-10-23</c:v>
                </c:pt>
                <c:pt idx="95">
                  <c:v>2026-10-30</c:v>
                </c:pt>
                <c:pt idx="96">
                  <c:v>2026-11-06</c:v>
                </c:pt>
                <c:pt idx="97">
                  <c:v>2026-11-13</c:v>
                </c:pt>
                <c:pt idx="98">
                  <c:v>2026-11-20</c:v>
                </c:pt>
                <c:pt idx="99">
                  <c:v>2026-11-27</c:v>
                </c:pt>
                <c:pt idx="100">
                  <c:v>2026-12-04</c:v>
                </c:pt>
                <c:pt idx="101">
                  <c:v>2026-12-11</c:v>
                </c:pt>
                <c:pt idx="102">
                  <c:v>2026-12-18</c:v>
                </c:pt>
                <c:pt idx="103">
                  <c:v>2026-12-25</c:v>
                </c:pt>
                <c:pt idx="104">
                  <c:v>2027-01-01</c:v>
                </c:pt>
                <c:pt idx="105">
                  <c:v>2027-01-08</c:v>
                </c:pt>
                <c:pt idx="106">
                  <c:v>2027-01-15</c:v>
                </c:pt>
                <c:pt idx="107">
                  <c:v>2027-01-22</c:v>
                </c:pt>
                <c:pt idx="108">
                  <c:v>2027-01-29</c:v>
                </c:pt>
                <c:pt idx="109">
                  <c:v>2027-02-05</c:v>
                </c:pt>
                <c:pt idx="110">
                  <c:v>2027-02-12</c:v>
                </c:pt>
                <c:pt idx="111">
                  <c:v>2027-02-19</c:v>
                </c:pt>
                <c:pt idx="112">
                  <c:v>2027-02-26</c:v>
                </c:pt>
                <c:pt idx="113">
                  <c:v>2027-03-05</c:v>
                </c:pt>
                <c:pt idx="114">
                  <c:v>2027-03-12</c:v>
                </c:pt>
                <c:pt idx="115">
                  <c:v>2027-03-19</c:v>
                </c:pt>
                <c:pt idx="116">
                  <c:v>2027-03-26</c:v>
                </c:pt>
                <c:pt idx="117">
                  <c:v>2027-04-02</c:v>
                </c:pt>
                <c:pt idx="118">
                  <c:v>2027-04-09</c:v>
                </c:pt>
                <c:pt idx="119">
                  <c:v>2027-04-16</c:v>
                </c:pt>
                <c:pt idx="120">
                  <c:v>2027-04-23</c:v>
                </c:pt>
                <c:pt idx="121">
                  <c:v>2027-04-30</c:v>
                </c:pt>
                <c:pt idx="122">
                  <c:v>2027-05-07</c:v>
                </c:pt>
                <c:pt idx="123">
                  <c:v>2027-05-14</c:v>
                </c:pt>
                <c:pt idx="124">
                  <c:v>2027-05-21</c:v>
                </c:pt>
                <c:pt idx="125">
                  <c:v>2027-05-28</c:v>
                </c:pt>
                <c:pt idx="126">
                  <c:v>2027-06-04</c:v>
                </c:pt>
                <c:pt idx="127">
                  <c:v>2027-06-11</c:v>
                </c:pt>
                <c:pt idx="128">
                  <c:v>2027-06-18</c:v>
                </c:pt>
                <c:pt idx="129">
                  <c:v>2027-06-25</c:v>
                </c:pt>
                <c:pt idx="130">
                  <c:v>2027-07-02</c:v>
                </c:pt>
                <c:pt idx="131">
                  <c:v>2027-07-09</c:v>
                </c:pt>
                <c:pt idx="132">
                  <c:v>2027-07-16</c:v>
                </c:pt>
                <c:pt idx="133">
                  <c:v>2027-07-23</c:v>
                </c:pt>
                <c:pt idx="134">
                  <c:v>2027-07-30</c:v>
                </c:pt>
                <c:pt idx="135">
                  <c:v>2027-08-06</c:v>
                </c:pt>
                <c:pt idx="136">
                  <c:v>2027-08-13</c:v>
                </c:pt>
                <c:pt idx="137">
                  <c:v>2027-08-20</c:v>
                </c:pt>
                <c:pt idx="138">
                  <c:v>2027-08-27</c:v>
                </c:pt>
                <c:pt idx="139">
                  <c:v>2027-09-03</c:v>
                </c:pt>
                <c:pt idx="140">
                  <c:v>2027-09-10</c:v>
                </c:pt>
                <c:pt idx="141">
                  <c:v>2027-09-17</c:v>
                </c:pt>
                <c:pt idx="142">
                  <c:v>2027-09-24</c:v>
                </c:pt>
                <c:pt idx="143">
                  <c:v>2027-10-01</c:v>
                </c:pt>
                <c:pt idx="144">
                  <c:v>2027-10-08</c:v>
                </c:pt>
                <c:pt idx="145">
                  <c:v>2027-10-15</c:v>
                </c:pt>
                <c:pt idx="146">
                  <c:v>2027-10-22</c:v>
                </c:pt>
                <c:pt idx="147">
                  <c:v>2027-10-29</c:v>
                </c:pt>
                <c:pt idx="148">
                  <c:v>2027-11-05</c:v>
                </c:pt>
                <c:pt idx="149">
                  <c:v>2027-11-12</c:v>
                </c:pt>
                <c:pt idx="150">
                  <c:v>2027-11-19</c:v>
                </c:pt>
                <c:pt idx="151">
                  <c:v>2027-11-26</c:v>
                </c:pt>
                <c:pt idx="152">
                  <c:v>2027-12-03</c:v>
                </c:pt>
                <c:pt idx="153">
                  <c:v>2027-12-10</c:v>
                </c:pt>
                <c:pt idx="154">
                  <c:v>2027-12-17</c:v>
                </c:pt>
                <c:pt idx="155">
                  <c:v>2027-12-24</c:v>
                </c:pt>
                <c:pt idx="156">
                  <c:v>2027-12-31</c:v>
                </c:pt>
              </c:strCache>
            </c:strRef>
          </c:cat>
          <c:val>
            <c:numRef>
              <c:f>Dashboard!$D$73:$D$229</c:f>
              <c:numCache>
                <c:formatCode>General</c:formatCode>
                <c:ptCount val="157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688</c:v>
                </c:pt>
                <c:pt idx="4">
                  <c:v>1291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17</c:v>
                </c:pt>
                <c:pt idx="12">
                  <c:v>9</c:v>
                </c:pt>
                <c:pt idx="13">
                  <c:v>7</c:v>
                </c:pt>
                <c:pt idx="14">
                  <c:v>7</c:v>
                </c:pt>
                <c:pt idx="15">
                  <c:v>71</c:v>
                </c:pt>
                <c:pt idx="16">
                  <c:v>169</c:v>
                </c:pt>
                <c:pt idx="17">
                  <c:v>44</c:v>
                </c:pt>
                <c:pt idx="18">
                  <c:v>5</c:v>
                </c:pt>
                <c:pt idx="19">
                  <c:v>10</c:v>
                </c:pt>
                <c:pt idx="20">
                  <c:v>5</c:v>
                </c:pt>
                <c:pt idx="21">
                  <c:v>10</c:v>
                </c:pt>
                <c:pt idx="22">
                  <c:v>20</c:v>
                </c:pt>
                <c:pt idx="23">
                  <c:v>11</c:v>
                </c:pt>
                <c:pt idx="24">
                  <c:v>20</c:v>
                </c:pt>
                <c:pt idx="25">
                  <c:v>22</c:v>
                </c:pt>
                <c:pt idx="26">
                  <c:v>59</c:v>
                </c:pt>
                <c:pt idx="27">
                  <c:v>23</c:v>
                </c:pt>
                <c:pt idx="28">
                  <c:v>25</c:v>
                </c:pt>
                <c:pt idx="29">
                  <c:v>24</c:v>
                </c:pt>
                <c:pt idx="30">
                  <c:v>22</c:v>
                </c:pt>
                <c:pt idx="31">
                  <c:v>11</c:v>
                </c:pt>
                <c:pt idx="32">
                  <c:v>10</c:v>
                </c:pt>
                <c:pt idx="33">
                  <c:v>53</c:v>
                </c:pt>
                <c:pt idx="34">
                  <c:v>43</c:v>
                </c:pt>
                <c:pt idx="35">
                  <c:v>38</c:v>
                </c:pt>
                <c:pt idx="36">
                  <c:v>43</c:v>
                </c:pt>
                <c:pt idx="37">
                  <c:v>40</c:v>
                </c:pt>
                <c:pt idx="38">
                  <c:v>5</c:v>
                </c:pt>
                <c:pt idx="39">
                  <c:v>5</c:v>
                </c:pt>
                <c:pt idx="40">
                  <c:v>10</c:v>
                </c:pt>
                <c:pt idx="41">
                  <c:v>12</c:v>
                </c:pt>
                <c:pt idx="42">
                  <c:v>15</c:v>
                </c:pt>
                <c:pt idx="43">
                  <c:v>13</c:v>
                </c:pt>
                <c:pt idx="44">
                  <c:v>7</c:v>
                </c:pt>
                <c:pt idx="45">
                  <c:v>4</c:v>
                </c:pt>
                <c:pt idx="46">
                  <c:v>5</c:v>
                </c:pt>
                <c:pt idx="47">
                  <c:v>7</c:v>
                </c:pt>
                <c:pt idx="48">
                  <c:v>9</c:v>
                </c:pt>
                <c:pt idx="49">
                  <c:v>1</c:v>
                </c:pt>
                <c:pt idx="50">
                  <c:v>3</c:v>
                </c:pt>
                <c:pt idx="51">
                  <c:v>4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5</c:v>
                </c:pt>
                <c:pt idx="56">
                  <c:v>2</c:v>
                </c:pt>
                <c:pt idx="57">
                  <c:v>6</c:v>
                </c:pt>
                <c:pt idx="58">
                  <c:v>8</c:v>
                </c:pt>
                <c:pt idx="59">
                  <c:v>9</c:v>
                </c:pt>
                <c:pt idx="60">
                  <c:v>3</c:v>
                </c:pt>
                <c:pt idx="61">
                  <c:v>8</c:v>
                </c:pt>
                <c:pt idx="62">
                  <c:v>9</c:v>
                </c:pt>
                <c:pt idx="63">
                  <c:v>12</c:v>
                </c:pt>
                <c:pt idx="64">
                  <c:v>14</c:v>
                </c:pt>
                <c:pt idx="65">
                  <c:v>11</c:v>
                </c:pt>
                <c:pt idx="66">
                  <c:v>5</c:v>
                </c:pt>
                <c:pt idx="67">
                  <c:v>3</c:v>
                </c:pt>
                <c:pt idx="68">
                  <c:v>4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12</c:v>
                </c:pt>
                <c:pt idx="75">
                  <c:v>23</c:v>
                </c:pt>
                <c:pt idx="76">
                  <c:v>12</c:v>
                </c:pt>
                <c:pt idx="77">
                  <c:v>10</c:v>
                </c:pt>
                <c:pt idx="78">
                  <c:v>13</c:v>
                </c:pt>
                <c:pt idx="79">
                  <c:v>11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550747"/>
        <c:axId val="55457251"/>
      </c:lineChart>
      <c:catAx>
        <c:axId val="745507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57251"/>
        <c:crosses val="autoZero"/>
        <c:auto val="1"/>
        <c:lblAlgn val="ctr"/>
        <c:lblOffset val="100"/>
        <c:noMultiLvlLbl val="0"/>
      </c:catAx>
      <c:valAx>
        <c:axId val="55457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50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Airbnb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'Excel Analysis'!N6</c:f>
              <c:strCache>
                <c:ptCount val="1"/>
                <c:pt idx="0">
                  <c:v>Airbnb Revenue ($)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'Excel Analysis'!$B$7:$B$43</c:f>
              <c:strCache>
                <c:ptCount val="37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  <c:pt idx="14">
                  <c:v>Mar 2026</c:v>
                </c:pt>
                <c:pt idx="15">
                  <c:v>Apr 2026</c:v>
                </c:pt>
                <c:pt idx="16">
                  <c:v>May 2026</c:v>
                </c:pt>
                <c:pt idx="17">
                  <c:v>Jun 2026</c:v>
                </c:pt>
                <c:pt idx="18">
                  <c:v>Jul 2026</c:v>
                </c:pt>
                <c:pt idx="19">
                  <c:v>Aug 2026</c:v>
                </c:pt>
                <c:pt idx="20">
                  <c:v>Sep 2026</c:v>
                </c:pt>
                <c:pt idx="21">
                  <c:v>Oct 2026</c:v>
                </c:pt>
                <c:pt idx="22">
                  <c:v>Nov 2026</c:v>
                </c:pt>
                <c:pt idx="23">
                  <c:v>Dec 2026</c:v>
                </c:pt>
                <c:pt idx="24">
                  <c:v>Jan 2027</c:v>
                </c:pt>
                <c:pt idx="25">
                  <c:v>Feb 2027</c:v>
                </c:pt>
                <c:pt idx="26">
                  <c:v>Mar 2027</c:v>
                </c:pt>
                <c:pt idx="27">
                  <c:v>Apr 2027</c:v>
                </c:pt>
                <c:pt idx="28">
                  <c:v>May 2027</c:v>
                </c:pt>
                <c:pt idx="29">
                  <c:v>Jun 2027</c:v>
                </c:pt>
                <c:pt idx="30">
                  <c:v>Jul 2027</c:v>
                </c:pt>
                <c:pt idx="31">
                  <c:v>Aug 2027</c:v>
                </c:pt>
                <c:pt idx="32">
                  <c:v>Sep 2027</c:v>
                </c:pt>
                <c:pt idx="33">
                  <c:v>Oct 2027</c:v>
                </c:pt>
                <c:pt idx="34">
                  <c:v>Nov 2027</c:v>
                </c:pt>
                <c:pt idx="35">
                  <c:v>Dec 2027</c:v>
                </c:pt>
                <c:pt idx="36">
                  <c:v>0</c:v>
                </c:pt>
              </c:strCache>
            </c:strRef>
          </c:cat>
          <c:val>
            <c:numRef>
              <c:f>'Excel Analysis'!$N$7:$N$43</c:f>
              <c:numCache>
                <c:formatCode>\$#,##0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226</c:v>
                </c:pt>
                <c:pt idx="4">
                  <c:v>0</c:v>
                </c:pt>
                <c:pt idx="5">
                  <c:v>0</c:v>
                </c:pt>
                <c:pt idx="6">
                  <c:v>772</c:v>
                </c:pt>
                <c:pt idx="7">
                  <c:v>891</c:v>
                </c:pt>
                <c:pt idx="8">
                  <c:v>0</c:v>
                </c:pt>
                <c:pt idx="9">
                  <c:v>226</c:v>
                </c:pt>
                <c:pt idx="10">
                  <c:v>0</c:v>
                </c:pt>
                <c:pt idx="11">
                  <c:v>0</c:v>
                </c:pt>
                <c:pt idx="12">
                  <c:v>361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284</c:v>
                </c:pt>
                <c:pt idx="17">
                  <c:v>238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104950"/>
        <c:axId val="43501336"/>
      </c:lineChart>
      <c:catAx>
        <c:axId val="231049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01336"/>
        <c:crosses val="autoZero"/>
        <c:auto val="1"/>
        <c:lblAlgn val="ctr"/>
        <c:lblOffset val="100"/>
        <c:noMultiLvlLbl val="0"/>
      </c:catAx>
      <c:valAx>
        <c:axId val="435013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049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Facebook vs Instagram Reach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'Excel Analysis'!C6</c:f>
              <c:strCache>
                <c:ptCount val="1"/>
                <c:pt idx="0">
                  <c:v>FB Reach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'Excel Analysis'!$B$7:$B$43</c:f>
              <c:strCache>
                <c:ptCount val="37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  <c:pt idx="14">
                  <c:v>Mar 2026</c:v>
                </c:pt>
                <c:pt idx="15">
                  <c:v>Apr 2026</c:v>
                </c:pt>
                <c:pt idx="16">
                  <c:v>May 2026</c:v>
                </c:pt>
                <c:pt idx="17">
                  <c:v>Jun 2026</c:v>
                </c:pt>
                <c:pt idx="18">
                  <c:v>Jul 2026</c:v>
                </c:pt>
                <c:pt idx="19">
                  <c:v>Aug 2026</c:v>
                </c:pt>
                <c:pt idx="20">
                  <c:v>Sep 2026</c:v>
                </c:pt>
                <c:pt idx="21">
                  <c:v>Oct 2026</c:v>
                </c:pt>
                <c:pt idx="22">
                  <c:v>Nov 2026</c:v>
                </c:pt>
                <c:pt idx="23">
                  <c:v>Dec 2026</c:v>
                </c:pt>
                <c:pt idx="24">
                  <c:v>Jan 2027</c:v>
                </c:pt>
                <c:pt idx="25">
                  <c:v>Feb 2027</c:v>
                </c:pt>
                <c:pt idx="26">
                  <c:v>Mar 2027</c:v>
                </c:pt>
                <c:pt idx="27">
                  <c:v>Apr 2027</c:v>
                </c:pt>
                <c:pt idx="28">
                  <c:v>May 2027</c:v>
                </c:pt>
                <c:pt idx="29">
                  <c:v>Jun 2027</c:v>
                </c:pt>
                <c:pt idx="30">
                  <c:v>Jul 2027</c:v>
                </c:pt>
                <c:pt idx="31">
                  <c:v>Aug 2027</c:v>
                </c:pt>
                <c:pt idx="32">
                  <c:v>Sep 2027</c:v>
                </c:pt>
                <c:pt idx="33">
                  <c:v>Oct 2027</c:v>
                </c:pt>
                <c:pt idx="34">
                  <c:v>Nov 2027</c:v>
                </c:pt>
                <c:pt idx="35">
                  <c:v>Dec 2027</c:v>
                </c:pt>
                <c:pt idx="36">
                  <c:v>0</c:v>
                </c:pt>
              </c:strCache>
            </c:strRef>
          </c:cat>
          <c:val>
            <c:numRef>
              <c:f>'Excel Analysis'!$C$7:$C$43</c:f>
              <c:numCache>
                <c:formatCode>#,##0</c:formatCode>
                <c:ptCount val="37"/>
                <c:pt idx="0">
                  <c:v>12099</c:v>
                </c:pt>
                <c:pt idx="1">
                  <c:v>283</c:v>
                </c:pt>
                <c:pt idx="2">
                  <c:v>2562</c:v>
                </c:pt>
                <c:pt idx="3">
                  <c:v>3542</c:v>
                </c:pt>
                <c:pt idx="4">
                  <c:v>1572</c:v>
                </c:pt>
                <c:pt idx="5">
                  <c:v>195</c:v>
                </c:pt>
                <c:pt idx="6">
                  <c:v>132</c:v>
                </c:pt>
                <c:pt idx="7">
                  <c:v>103</c:v>
                </c:pt>
                <c:pt idx="8">
                  <c:v>48</c:v>
                </c:pt>
                <c:pt idx="9">
                  <c:v>226</c:v>
                </c:pt>
                <c:pt idx="10">
                  <c:v>384</c:v>
                </c:pt>
                <c:pt idx="11">
                  <c:v>130</c:v>
                </c:pt>
                <c:pt idx="12">
                  <c:v>123</c:v>
                </c:pt>
                <c:pt idx="13">
                  <c:v>123</c:v>
                </c:pt>
                <c:pt idx="14">
                  <c:v>62</c:v>
                </c:pt>
                <c:pt idx="15">
                  <c:v>104</c:v>
                </c:pt>
                <c:pt idx="16">
                  <c:v>147</c:v>
                </c:pt>
                <c:pt idx="17">
                  <c:v>104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</c:ser>
        <c:ser>
          <c:idx val="1"/>
          <c:order val="1"/>
          <c:tx>
            <c:strRef>
              <c:f>'Excel Analysis'!E6</c:f>
              <c:strCache>
                <c:ptCount val="1"/>
                <c:pt idx="0">
                  <c:v>IG Reach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'Excel Analysis'!$B$7:$B$43</c:f>
              <c:strCache>
                <c:ptCount val="37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  <c:pt idx="14">
                  <c:v>Mar 2026</c:v>
                </c:pt>
                <c:pt idx="15">
                  <c:v>Apr 2026</c:v>
                </c:pt>
                <c:pt idx="16">
                  <c:v>May 2026</c:v>
                </c:pt>
                <c:pt idx="17">
                  <c:v>Jun 2026</c:v>
                </c:pt>
                <c:pt idx="18">
                  <c:v>Jul 2026</c:v>
                </c:pt>
                <c:pt idx="19">
                  <c:v>Aug 2026</c:v>
                </c:pt>
                <c:pt idx="20">
                  <c:v>Sep 2026</c:v>
                </c:pt>
                <c:pt idx="21">
                  <c:v>Oct 2026</c:v>
                </c:pt>
                <c:pt idx="22">
                  <c:v>Nov 2026</c:v>
                </c:pt>
                <c:pt idx="23">
                  <c:v>Dec 2026</c:v>
                </c:pt>
                <c:pt idx="24">
                  <c:v>Jan 2027</c:v>
                </c:pt>
                <c:pt idx="25">
                  <c:v>Feb 2027</c:v>
                </c:pt>
                <c:pt idx="26">
                  <c:v>Mar 2027</c:v>
                </c:pt>
                <c:pt idx="27">
                  <c:v>Apr 2027</c:v>
                </c:pt>
                <c:pt idx="28">
                  <c:v>May 2027</c:v>
                </c:pt>
                <c:pt idx="29">
                  <c:v>Jun 2027</c:v>
                </c:pt>
                <c:pt idx="30">
                  <c:v>Jul 2027</c:v>
                </c:pt>
                <c:pt idx="31">
                  <c:v>Aug 2027</c:v>
                </c:pt>
                <c:pt idx="32">
                  <c:v>Sep 2027</c:v>
                </c:pt>
                <c:pt idx="33">
                  <c:v>Oct 2027</c:v>
                </c:pt>
                <c:pt idx="34">
                  <c:v>Nov 2027</c:v>
                </c:pt>
                <c:pt idx="35">
                  <c:v>Dec 2027</c:v>
                </c:pt>
                <c:pt idx="36">
                  <c:v>0</c:v>
                </c:pt>
              </c:strCache>
            </c:strRef>
          </c:cat>
          <c:val>
            <c:numRef>
              <c:f>'Excel Analysis'!$E$7:$E$43</c:f>
              <c:numCache>
                <c:formatCode>#,##0</c:formatCode>
                <c:ptCount val="37"/>
                <c:pt idx="0">
                  <c:v>101015</c:v>
                </c:pt>
                <c:pt idx="1">
                  <c:v>628</c:v>
                </c:pt>
                <c:pt idx="2">
                  <c:v>647</c:v>
                </c:pt>
                <c:pt idx="3">
                  <c:v>594</c:v>
                </c:pt>
                <c:pt idx="4">
                  <c:v>610</c:v>
                </c:pt>
                <c:pt idx="5">
                  <c:v>327</c:v>
                </c:pt>
                <c:pt idx="6">
                  <c:v>183</c:v>
                </c:pt>
                <c:pt idx="7">
                  <c:v>131</c:v>
                </c:pt>
                <c:pt idx="8">
                  <c:v>489</c:v>
                </c:pt>
                <c:pt idx="9">
                  <c:v>643</c:v>
                </c:pt>
                <c:pt idx="10">
                  <c:v>497</c:v>
                </c:pt>
                <c:pt idx="11">
                  <c:v>154</c:v>
                </c:pt>
                <c:pt idx="12">
                  <c:v>155</c:v>
                </c:pt>
                <c:pt idx="13">
                  <c:v>156</c:v>
                </c:pt>
                <c:pt idx="14">
                  <c:v>113</c:v>
                </c:pt>
                <c:pt idx="15">
                  <c:v>89</c:v>
                </c:pt>
                <c:pt idx="16">
                  <c:v>143</c:v>
                </c:pt>
                <c:pt idx="17">
                  <c:v>142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</c:ser>
        <c:gapWidth val="150"/>
        <c:overlap val="0"/>
        <c:axId val="24206135"/>
        <c:axId val="68830896"/>
      </c:barChart>
      <c:catAx>
        <c:axId val="242061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30896"/>
        <c:crosses val="autoZero"/>
        <c:auto val="1"/>
        <c:lblAlgn val="ctr"/>
        <c:lblOffset val="100"/>
        <c:noMultiLvlLbl val="0"/>
      </c:catAx>
      <c:valAx>
        <c:axId val="688308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061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Tanzania Annual Tourist Arrivals (Millions)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'Tourism Context'!B2</c:f>
              <c:strCache>
                <c:ptCount val="1"/>
                <c:pt idx="0">
                  <c:v>Tourist Arrivals (Million)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'Tourism Context'!$A$3:$A$13</c:f>
              <c:strCache>
                <c:ptCount val="11"/>
                <c:pt idx="0">
                  <c:v>Year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'Tourism Context'!$B$3:$B$13</c:f>
              <c:numCache>
                <c:formatCode>General</c:formatCode>
                <c:ptCount val="1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139530"/>
        <c:axId val="49758704"/>
      </c:lineChart>
      <c:catAx>
        <c:axId val="561395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58704"/>
        <c:crosses val="autoZero"/>
        <c:auto val="1"/>
        <c:lblAlgn val="ctr"/>
        <c:lblOffset val="100"/>
        <c:noMultiLvlLbl val="0"/>
      </c:catAx>
      <c:valAx>
        <c:axId val="49758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Arrivals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395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11</xdr:row>
      <xdr:rowOff>0</xdr:rowOff>
    </xdr:from>
    <xdr:to>
      <xdr:col>12</xdr:col>
      <xdr:colOff>331920</xdr:colOff>
      <xdr:row>26</xdr:row>
      <xdr:rowOff>7200</xdr:rowOff>
    </xdr:to>
    <xdr:graphicFrame>
      <xdr:nvGraphicFramePr>
        <xdr:cNvPr id="0" name="Chart 1"/>
        <xdr:cNvGraphicFramePr/>
      </xdr:nvGraphicFramePr>
      <xdr:xfrm>
        <a:off x="3312720" y="2247840"/>
        <a:ext cx="5759280" cy="287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175680</xdr:rowOff>
    </xdr:from>
    <xdr:to>
      <xdr:col>11</xdr:col>
      <xdr:colOff>165960</xdr:colOff>
      <xdr:row>46</xdr:row>
      <xdr:rowOff>162000</xdr:rowOff>
    </xdr:to>
    <xdr:graphicFrame>
      <xdr:nvGraphicFramePr>
        <xdr:cNvPr id="1" name="Chart 2"/>
        <xdr:cNvGraphicFramePr/>
      </xdr:nvGraphicFramePr>
      <xdr:xfrm>
        <a:off x="211320" y="5862240"/>
        <a:ext cx="791928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29</xdr:row>
      <xdr:rowOff>175680</xdr:rowOff>
    </xdr:from>
    <xdr:to>
      <xdr:col>21</xdr:col>
      <xdr:colOff>165600</xdr:colOff>
      <xdr:row>46</xdr:row>
      <xdr:rowOff>162000</xdr:rowOff>
    </xdr:to>
    <xdr:graphicFrame>
      <xdr:nvGraphicFramePr>
        <xdr:cNvPr id="2" name="Chart 3"/>
        <xdr:cNvGraphicFramePr/>
      </xdr:nvGraphicFramePr>
      <xdr:xfrm>
        <a:off x="7964640" y="5862240"/>
        <a:ext cx="791928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48</xdr:row>
      <xdr:rowOff>161640</xdr:rowOff>
    </xdr:from>
    <xdr:to>
      <xdr:col>11</xdr:col>
      <xdr:colOff>165960</xdr:colOff>
      <xdr:row>65</xdr:row>
      <xdr:rowOff>147600</xdr:rowOff>
    </xdr:to>
    <xdr:graphicFrame>
      <xdr:nvGraphicFramePr>
        <xdr:cNvPr id="3" name="Chart 4"/>
        <xdr:cNvGraphicFramePr/>
      </xdr:nvGraphicFramePr>
      <xdr:xfrm>
        <a:off x="211320" y="9477000"/>
        <a:ext cx="791928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67</xdr:row>
      <xdr:rowOff>146880</xdr:rowOff>
    </xdr:from>
    <xdr:to>
      <xdr:col>15</xdr:col>
      <xdr:colOff>165960</xdr:colOff>
      <xdr:row>82</xdr:row>
      <xdr:rowOff>22320</xdr:rowOff>
    </xdr:to>
    <xdr:graphicFrame>
      <xdr:nvGraphicFramePr>
        <xdr:cNvPr id="4" name="Chart 5"/>
        <xdr:cNvGraphicFramePr/>
      </xdr:nvGraphicFramePr>
      <xdr:xfrm>
        <a:off x="3312720" y="13091400"/>
        <a:ext cx="7919280" cy="359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62</xdr:row>
      <xdr:rowOff>0</xdr:rowOff>
    </xdr:from>
    <xdr:to>
      <xdr:col>7</xdr:col>
      <xdr:colOff>1052280</xdr:colOff>
      <xdr:row>77</xdr:row>
      <xdr:rowOff>22320</xdr:rowOff>
    </xdr:to>
    <xdr:graphicFrame>
      <xdr:nvGraphicFramePr>
        <xdr:cNvPr id="5" name="Chart 1"/>
        <xdr:cNvGraphicFramePr/>
      </xdr:nvGraphicFramePr>
      <xdr:xfrm>
        <a:off x="211320" y="12134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62</xdr:row>
      <xdr:rowOff>0</xdr:rowOff>
    </xdr:from>
    <xdr:to>
      <xdr:col>15</xdr:col>
      <xdr:colOff>840960</xdr:colOff>
      <xdr:row>77</xdr:row>
      <xdr:rowOff>22320</xdr:rowOff>
    </xdr:to>
    <xdr:graphicFrame>
      <xdr:nvGraphicFramePr>
        <xdr:cNvPr id="6" name="Chart 2"/>
        <xdr:cNvGraphicFramePr/>
      </xdr:nvGraphicFramePr>
      <xdr:xfrm>
        <a:off x="7753320" y="12134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190440</xdr:rowOff>
    </xdr:from>
    <xdr:to>
      <xdr:col>14</xdr:col>
      <xdr:colOff>364320</xdr:colOff>
      <xdr:row>17</xdr:row>
      <xdr:rowOff>176760</xdr:rowOff>
    </xdr:to>
    <xdr:graphicFrame>
      <xdr:nvGraphicFramePr>
        <xdr:cNvPr id="7" name="Chart 1"/>
        <xdr:cNvGraphicFramePr/>
      </xdr:nvGraphicFramePr>
      <xdr:xfrm>
        <a:off x="5827320" y="190440"/>
        <a:ext cx="647928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Airbnb" displayName="tbl_Airbnb" ref="A2:I159" headerRowCount="1" totalsRowCount="0" totalsRowShown="0">
  <autoFilter ref="A2:I159"/>
  <tableColumns count="9">
    <tableColumn id="1" name="Date"/>
    <tableColumn id="2" name="Listing Name"/>
    <tableColumn id="3" name="views"/>
    <tableColumn id="4" name="inquires"/>
    <tableColumn id="5" name="bookings"/>
    <tableColumn id="6" name="Nights Booked"/>
    <tableColumn id="7" name="Revenue"/>
    <tableColumn id="8" name="occupancy rate(%)"/>
    <tableColumn id="9" name="conversion Rate"/>
  </tableColumns>
</table>
</file>

<file path=xl/tables/table2.xml><?xml version="1.0" encoding="utf-8"?>
<table xmlns="http://schemas.openxmlformats.org/spreadsheetml/2006/main" id="2" name="tbl_Facebook" displayName="tbl_Facebook" ref="A2:K159" headerRowCount="1" totalsRowCount="0" totalsRowShown="0">
  <autoFilter ref="A2:K159"/>
  <tableColumns count="11">
    <tableColumn id="1" name="Date"/>
    <tableColumn id="2" name="Followers/Visitors"/>
    <tableColumn id="3" name="New Followers/Visitors"/>
    <tableColumn id="4" name="Posts/Updates"/>
    <tableColumn id="5" name="Engagements (Likes/Comments/Shares)"/>
    <tableColumn id="6" name="Reach"/>
    <tableColumn id="7" name="Impressions"/>
    <tableColumn id="8" name="Clicks"/>
    <tableColumn id="9" name="Conversions"/>
    <tableColumn id="10" name="Facebook Reviews"/>
    <tableColumn id="11" name="Notes/Observations"/>
  </tableColumns>
</table>
</file>

<file path=xl/tables/table3.xml><?xml version="1.0" encoding="utf-8"?>
<table xmlns="http://schemas.openxmlformats.org/spreadsheetml/2006/main" id="3" name="tbl_Instagram" displayName="tbl_Instagram" ref="A2:J159" headerRowCount="1" totalsRowCount="0" totalsRowShown="0">
  <autoFilter ref="A2:J159"/>
  <tableColumns count="10">
    <tableColumn id="1" name="Date"/>
    <tableColumn id="2" name="Followers/Visitors"/>
    <tableColumn id="3" name="New Followers/Visitors"/>
    <tableColumn id="4" name="Posts/Updates"/>
    <tableColumn id="5" name="Engagements (Likes/Comments/Shares)"/>
    <tableColumn id="6" name="Reach"/>
    <tableColumn id="7" name="IMPRESSION"/>
    <tableColumn id="8" name="Clicks"/>
    <tableColumn id="9" name="Conversions"/>
    <tableColumn id="10" name="Notes/Observations"/>
  </tableColumns>
</table>
</file>

<file path=xl/tables/table4.xml><?xml version="1.0" encoding="utf-8"?>
<table xmlns="http://schemas.openxmlformats.org/spreadsheetml/2006/main" id="4" name="tbl_MonthlySummary" displayName="tbl_MonthlySummary" ref="A3:Q39" headerRowCount="1" totalsRowCount="0" totalsRowShown="0">
  <autoFilter ref="A3:Q39"/>
  <tableColumns count="17">
    <tableColumn id="1" name="Month"/>
    <tableColumn id="2" name="FB Reach"/>
    <tableColumn id="3" name="FB Engagement"/>
    <tableColumn id="4" name="FB Clicks"/>
    <tableColumn id="5" name="FB Conversions"/>
    <tableColumn id="6" name="IG Reach"/>
    <tableColumn id="7" name="IG Engagement"/>
    <tableColumn id="8" name="IG Clicks"/>
    <tableColumn id="9" name="IG Conversions"/>
    <tableColumn id="10" name="Website Visitors"/>
    <tableColumn id="11" name="Website Page Views"/>
    <tableColumn id="12" name="Website Conversions"/>
    <tableColumn id="13" name="Airbnb Views"/>
    <tableColumn id="14" name="Airbnb Inquiries"/>
    <tableColumn id="15" name="Airbnb Bookings"/>
    <tableColumn id="16" name="Airbnb Revenue ($)"/>
    <tableColumn id="17" name="Airbnb Avg Occupancy %"/>
  </tableColumns>
</table>
</file>

<file path=xl/tables/table5.xml><?xml version="1.0" encoding="utf-8"?>
<table xmlns="http://schemas.openxmlformats.org/spreadsheetml/2006/main" id="5" name="tbl_Summary" displayName="tbl_Summary" ref="A3:M160" headerRowCount="1" totalsRowCount="0" totalsRowShown="0">
  <autoFilter ref="A3:M160"/>
  <tableColumns count="13">
    <tableColumn id="1" name="Week"/>
    <tableColumn id="2" name="FB Reach"/>
    <tableColumn id="3" name="IG Reach"/>
    <tableColumn id="4" name="Total Awareness (Reach)"/>
    <tableColumn id="5" name="FB Engagement"/>
    <tableColumn id="6" name="IG Engagement"/>
    <tableColumn id="7" name="Total Interest (Engagement)"/>
    <tableColumn id="8" name="Website Visitors"/>
    <tableColumn id="9" name="Airbnb Views"/>
    <tableColumn id="10" name="Total Intent"/>
    <tableColumn id="11" name="Airbnb Inquiries"/>
    <tableColumn id="12" name="Airbnb Bookings (Conversions)"/>
    <tableColumn id="13" name="Airbnb Revenue ($)"/>
  </tableColumns>
</table>
</file>

<file path=xl/tables/table6.xml><?xml version="1.0" encoding="utf-8"?>
<table xmlns="http://schemas.openxmlformats.org/spreadsheetml/2006/main" id="6" name="tbl_Website" displayName="tbl_Website" ref="A2:H159" headerRowCount="1" totalsRowCount="0" totalsRowShown="0">
  <autoFilter ref="A2:H159"/>
  <tableColumns count="8">
    <tableColumn id="1" name="Date"/>
    <tableColumn id="2" name="Visitors"/>
    <tableColumn id="3" name="Page Views"/>
    <tableColumn id="4" name="Bounce Rate%"/>
    <tableColumn id="5" name="Average Session Duration(min)"/>
    <tableColumn id="6" name="Conversions"/>
    <tableColumn id="7" name="Notes/Observations"/>
    <tableColumn id="8" name="New Page View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2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1" min="2" style="1" width="11"/>
  </cols>
  <sheetData>
    <row r="2" customFormat="false" ht="1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5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6" customFormat="false" ht="18" hidden="false" customHeight="true" outlineLevel="0" collapsed="false">
      <c r="B6" s="4" t="s">
        <v>2</v>
      </c>
      <c r="C6" s="4"/>
      <c r="D6" s="4"/>
      <c r="E6" s="5" t="s">
        <v>3</v>
      </c>
      <c r="F6" s="5"/>
      <c r="G6" s="5"/>
      <c r="H6" s="6" t="s">
        <v>4</v>
      </c>
      <c r="I6" s="6"/>
      <c r="J6" s="6"/>
      <c r="K6" s="4" t="s">
        <v>5</v>
      </c>
      <c r="L6" s="4"/>
      <c r="M6" s="4"/>
      <c r="N6" s="5" t="s">
        <v>6</v>
      </c>
      <c r="O6" s="5"/>
      <c r="P6" s="5"/>
      <c r="Q6" s="6" t="s">
        <v>7</v>
      </c>
      <c r="R6" s="6"/>
      <c r="S6" s="6"/>
    </row>
    <row r="7" customFormat="false" ht="18" hidden="false" customHeight="true" outlineLevel="0" collapsed="false">
      <c r="B7" s="4"/>
      <c r="C7" s="4"/>
      <c r="D7" s="4"/>
      <c r="E7" s="5"/>
      <c r="F7" s="5"/>
      <c r="G7" s="5"/>
      <c r="H7" s="6"/>
      <c r="I7" s="6"/>
      <c r="J7" s="6"/>
      <c r="K7" s="4"/>
      <c r="L7" s="4"/>
      <c r="M7" s="4"/>
      <c r="N7" s="5"/>
      <c r="O7" s="5"/>
      <c r="P7" s="5"/>
      <c r="Q7" s="6"/>
      <c r="R7" s="6"/>
      <c r="S7" s="6"/>
    </row>
    <row r="8" customFormat="false" ht="18" hidden="false" customHeight="true" outlineLevel="0" collapsed="false">
      <c r="B8" s="7" t="n">
        <f aca="false">SUM(Facebook!F:F)+SUM(Instagram!F:F)</f>
        <v>128690</v>
      </c>
      <c r="C8" s="7"/>
      <c r="D8" s="7"/>
      <c r="E8" s="8" t="n">
        <f aca="false">SUM(Facebook!E:E)+SUM(Instagram!E:E)</f>
        <v>5091</v>
      </c>
      <c r="F8" s="8"/>
      <c r="G8" s="8"/>
      <c r="H8" s="9" t="n">
        <f aca="false">SUM(Website!B:B)</f>
        <v>167230</v>
      </c>
      <c r="I8" s="9"/>
      <c r="J8" s="9"/>
      <c r="K8" s="7" t="n">
        <f aca="false">SUM(Airbnb!E:E)</f>
        <v>9</v>
      </c>
      <c r="L8" s="7"/>
      <c r="M8" s="7"/>
      <c r="N8" s="10" t="n">
        <f aca="false">SUM(Airbnb!G:G)</f>
        <v>3198</v>
      </c>
      <c r="O8" s="10"/>
      <c r="P8" s="10"/>
      <c r="Q8" s="11" t="n">
        <f aca="false">AVERAGE(Airbnb!H:H)</f>
        <v>0.0634900759766234</v>
      </c>
      <c r="R8" s="11"/>
      <c r="S8" s="11"/>
    </row>
    <row r="9" customFormat="false" ht="18" hidden="false" customHeight="true" outlineLevel="0" collapsed="false">
      <c r="B9" s="7"/>
      <c r="C9" s="7"/>
      <c r="D9" s="7"/>
      <c r="E9" s="8"/>
      <c r="F9" s="8"/>
      <c r="G9" s="8"/>
      <c r="H9" s="9"/>
      <c r="I9" s="9"/>
      <c r="J9" s="9"/>
      <c r="K9" s="7"/>
      <c r="L9" s="7"/>
      <c r="M9" s="7"/>
      <c r="N9" s="10"/>
      <c r="O9" s="10"/>
      <c r="P9" s="10"/>
      <c r="Q9" s="11"/>
      <c r="R9" s="11"/>
      <c r="S9" s="11"/>
    </row>
    <row r="12" customFormat="false" ht="15.75" hidden="false" customHeight="true" outlineLevel="0" collapsed="false">
      <c r="B12" s="12" t="s">
        <v>8</v>
      </c>
    </row>
    <row r="13" customFormat="false" ht="15" hidden="false" customHeight="true" outlineLevel="0" collapsed="false">
      <c r="B13" s="13" t="s">
        <v>9</v>
      </c>
      <c r="C13" s="13" t="s">
        <v>10</v>
      </c>
    </row>
    <row r="14" customFormat="false" ht="15" hidden="false" customHeight="true" outlineLevel="0" collapsed="false">
      <c r="B14" s="14" t="s">
        <v>11</v>
      </c>
      <c r="C14" s="15" t="n">
        <f aca="false">SUM(Facebook!F:F)+SUM(Instagram!F:F)</f>
        <v>128690</v>
      </c>
    </row>
    <row r="15" customFormat="false" ht="15" hidden="false" customHeight="true" outlineLevel="0" collapsed="false">
      <c r="B15" s="14" t="s">
        <v>12</v>
      </c>
      <c r="C15" s="15" t="n">
        <f aca="false">SUM(Facebook!E:E)+SUM(Instagram!E:E)</f>
        <v>5091</v>
      </c>
    </row>
    <row r="16" customFormat="false" ht="15" hidden="false" customHeight="true" outlineLevel="0" collapsed="false">
      <c r="B16" s="14" t="s">
        <v>13</v>
      </c>
      <c r="C16" s="15" t="n">
        <f aca="false">SUM(Website!B:B)+SUM(Airbnb!C:C)</f>
        <v>167972</v>
      </c>
    </row>
    <row r="17" customFormat="false" ht="15" hidden="false" customHeight="true" outlineLevel="0" collapsed="false">
      <c r="B17" s="14" t="s">
        <v>14</v>
      </c>
      <c r="C17" s="15" t="n">
        <f aca="false">SUM(Airbnb!E:E)</f>
        <v>9</v>
      </c>
    </row>
    <row r="30" customFormat="false" ht="15.75" hidden="false" customHeight="true" outlineLevel="0" collapsed="false">
      <c r="B30" s="12" t="s">
        <v>15</v>
      </c>
      <c r="L30" s="12" t="s">
        <v>16</v>
      </c>
    </row>
    <row r="49" customFormat="false" ht="15.75" hidden="false" customHeight="true" outlineLevel="0" collapsed="false">
      <c r="B49" s="12" t="s">
        <v>17</v>
      </c>
    </row>
    <row r="69" customFormat="false" ht="15.75" hidden="false" customHeight="true" outlineLevel="0" collapsed="false">
      <c r="B69" s="12" t="s">
        <v>18</v>
      </c>
    </row>
    <row r="70" customFormat="false" ht="15" hidden="false" customHeight="true" outlineLevel="0" collapsed="false">
      <c r="B70" s="16" t="s">
        <v>19</v>
      </c>
      <c r="C70" s="17" t="s">
        <v>20</v>
      </c>
    </row>
    <row r="72" customFormat="false" ht="81.75" hidden="false" customHeight="true" outlineLevel="0" collapsed="false">
      <c r="B72" s="13" t="s">
        <v>21</v>
      </c>
      <c r="C72" s="13" t="s">
        <v>22</v>
      </c>
      <c r="D72" s="13" t="s">
        <v>23</v>
      </c>
    </row>
    <row r="73" customFormat="false" ht="15" hidden="false" customHeight="true" outlineLevel="0" collapsed="false">
      <c r="B73" s="18" t="n">
        <f aca="false">Facebook!A3</f>
        <v>45660</v>
      </c>
      <c r="C73" s="1" t="n">
        <f aca="false">IF($C$70="Facebook",IFERROR(INDEX(Facebook!$F:$F,MATCH($B73,Facebook!$A:$A,0)),""),IF($C$70="Instagram",IFERROR(INDEX(Instagram!$F:$F,MATCH($B73,Instagram!$A:$A,0)),""),IF($C$70="Website",IFERROR(INDEX(Website!$B:$B,MATCH($B73,Website!$A:$A,0)),""),IF($C$70="Airbnb",IFERROR(INDEX(Airbnb!$C:$C,MATCH($B73,Airbnb!$A:$A,0)),""),""))))</f>
        <v>219</v>
      </c>
      <c r="D73" s="1" t="n">
        <f aca="false">IF($C$70="Facebook",IFERROR(INDEX(Facebook!$E:$E,MATCH($B73,Facebook!$A:$A,0)),""),IF($C$70="Instagram",IFERROR(INDEX(Instagram!$E:$E,MATCH($B73,Instagram!$A:$A,0)),""),IF($C$70="Website",IFERROR(INDEX(Website!$F:$F,MATCH($B73,Website!$A:$A,0)),""),IF($C$70="Airbnb",IFERROR(INDEX(Airbnb!$E:$E,MATCH($B73,Airbnb!$A:$A,0)),""),""))))</f>
        <v>11</v>
      </c>
    </row>
    <row r="74" customFormat="false" ht="15" hidden="false" customHeight="true" outlineLevel="0" collapsed="false">
      <c r="B74" s="18" t="n">
        <f aca="false">Facebook!A4</f>
        <v>45667</v>
      </c>
      <c r="C74" s="1" t="n">
        <f aca="false">IF($C$70="Facebook",IFERROR(INDEX(Facebook!$F:$F,MATCH($B74,Facebook!$A:$A,0)),""),IF($C$70="Instagram",IFERROR(INDEX(Instagram!$F:$F,MATCH($B74,Instagram!$A:$A,0)),""),IF($C$70="Website",IFERROR(INDEX(Website!$B:$B,MATCH($B74,Website!$A:$A,0)),""),IF($C$70="Airbnb",IFERROR(INDEX(Airbnb!$C:$C,MATCH($B74,Airbnb!$A:$A,0)),""),""))))</f>
        <v>198</v>
      </c>
      <c r="D74" s="1" t="n">
        <f aca="false">IF($C$70="Facebook",IFERROR(INDEX(Facebook!$E:$E,MATCH($B74,Facebook!$A:$A,0)),""),IF($C$70="Instagram",IFERROR(INDEX(Instagram!$E:$E,MATCH($B74,Instagram!$A:$A,0)),""),IF($C$70="Website",IFERROR(INDEX(Website!$F:$F,MATCH($B74,Website!$A:$A,0)),""),IF($C$70="Airbnb",IFERROR(INDEX(Airbnb!$E:$E,MATCH($B74,Airbnb!$A:$A,0)),""),""))))</f>
        <v>9</v>
      </c>
    </row>
    <row r="75" customFormat="false" ht="15" hidden="false" customHeight="true" outlineLevel="0" collapsed="false">
      <c r="B75" s="18" t="n">
        <f aca="false">Facebook!A5</f>
        <v>45674</v>
      </c>
      <c r="C75" s="1" t="n">
        <f aca="false">IF($C$70="Facebook",IFERROR(INDEX(Facebook!$F:$F,MATCH($B75,Facebook!$A:$A,0)),""),IF($C$70="Instagram",IFERROR(INDEX(Instagram!$F:$F,MATCH($B75,Instagram!$A:$A,0)),""),IF($C$70="Website",IFERROR(INDEX(Website!$B:$B,MATCH($B75,Website!$A:$A,0)),""),IF($C$70="Airbnb",IFERROR(INDEX(Airbnb!$C:$C,MATCH($B75,Airbnb!$A:$A,0)),""),""))))</f>
        <v>199</v>
      </c>
      <c r="D75" s="1" t="n">
        <f aca="false">IF($C$70="Facebook",IFERROR(INDEX(Facebook!$E:$E,MATCH($B75,Facebook!$A:$A,0)),""),IF($C$70="Instagram",IFERROR(INDEX(Instagram!$E:$E,MATCH($B75,Instagram!$A:$A,0)),""),IF($C$70="Website",IFERROR(INDEX(Website!$F:$F,MATCH($B75,Website!$A:$A,0)),""),IF($C$70="Airbnb",IFERROR(INDEX(Airbnb!$E:$E,MATCH($B75,Airbnb!$A:$A,0)),""),""))))</f>
        <v>9</v>
      </c>
    </row>
    <row r="76" customFormat="false" ht="15" hidden="false" customHeight="true" outlineLevel="0" collapsed="false">
      <c r="B76" s="18" t="n">
        <f aca="false">Facebook!A6</f>
        <v>45681</v>
      </c>
      <c r="C76" s="1" t="n">
        <f aca="false">IF($C$70="Facebook",IFERROR(INDEX(Facebook!$F:$F,MATCH($B76,Facebook!$A:$A,0)),""),IF($C$70="Instagram",IFERROR(INDEX(Instagram!$F:$F,MATCH($B76,Instagram!$A:$A,0)),""),IF($C$70="Website",IFERROR(INDEX(Website!$B:$B,MATCH($B76,Website!$A:$A,0)),""),IF($C$70="Airbnb",IFERROR(INDEX(Airbnb!$C:$C,MATCH($B76,Airbnb!$A:$A,0)),""),""))))</f>
        <v>2783</v>
      </c>
      <c r="D76" s="1" t="n">
        <f aca="false">IF($C$70="Facebook",IFERROR(INDEX(Facebook!$E:$E,MATCH($B76,Facebook!$A:$A,0)),""),IF($C$70="Instagram",IFERROR(INDEX(Instagram!$E:$E,MATCH($B76,Instagram!$A:$A,0)),""),IF($C$70="Website",IFERROR(INDEX(Website!$F:$F,MATCH($B76,Website!$A:$A,0)),""),IF($C$70="Airbnb",IFERROR(INDEX(Airbnb!$E:$E,MATCH($B76,Airbnb!$A:$A,0)),""),""))))</f>
        <v>688</v>
      </c>
    </row>
    <row r="77" customFormat="false" ht="15" hidden="false" customHeight="true" outlineLevel="0" collapsed="false">
      <c r="B77" s="18" t="n">
        <f aca="false">Facebook!A7</f>
        <v>45688</v>
      </c>
      <c r="C77" s="1" t="n">
        <f aca="false">IF($C$70="Facebook",IFERROR(INDEX(Facebook!$F:$F,MATCH($B77,Facebook!$A:$A,0)),""),IF($C$70="Instagram",IFERROR(INDEX(Instagram!$F:$F,MATCH($B77,Instagram!$A:$A,0)),""),IF($C$70="Website",IFERROR(INDEX(Website!$B:$B,MATCH($B77,Website!$A:$A,0)),""),IF($C$70="Airbnb",IFERROR(INDEX(Airbnb!$C:$C,MATCH($B77,Airbnb!$A:$A,0)),""),""))))</f>
        <v>8700</v>
      </c>
      <c r="D77" s="1" t="n">
        <f aca="false">IF($C$70="Facebook",IFERROR(INDEX(Facebook!$E:$E,MATCH($B77,Facebook!$A:$A,0)),""),IF($C$70="Instagram",IFERROR(INDEX(Instagram!$E:$E,MATCH($B77,Instagram!$A:$A,0)),""),IF($C$70="Website",IFERROR(INDEX(Website!$F:$F,MATCH($B77,Website!$A:$A,0)),""),IF($C$70="Airbnb",IFERROR(INDEX(Airbnb!$E:$E,MATCH($B77,Airbnb!$A:$A,0)),""),""))))</f>
        <v>1291</v>
      </c>
    </row>
    <row r="78" customFormat="false" ht="15" hidden="false" customHeight="true" outlineLevel="0" collapsed="false">
      <c r="B78" s="18" t="n">
        <f aca="false">Facebook!A8</f>
        <v>45695</v>
      </c>
      <c r="C78" s="1" t="n">
        <f aca="false">IF($C$70="Facebook",IFERROR(INDEX(Facebook!$F:$F,MATCH($B78,Facebook!$A:$A,0)),""),IF($C$70="Instagram",IFERROR(INDEX(Instagram!$F:$F,MATCH($B78,Instagram!$A:$A,0)),""),IF($C$70="Website",IFERROR(INDEX(Website!$B:$B,MATCH($B78,Website!$A:$A,0)),""),IF($C$70="Airbnb",IFERROR(INDEX(Airbnb!$C:$C,MATCH($B78,Airbnb!$A:$A,0)),""),""))))</f>
        <v>147</v>
      </c>
      <c r="D78" s="1" t="n">
        <f aca="false">IF($C$70="Facebook",IFERROR(INDEX(Facebook!$E:$E,MATCH($B78,Facebook!$A:$A,0)),""),IF($C$70="Instagram",IFERROR(INDEX(Instagram!$E:$E,MATCH($B78,Instagram!$A:$A,0)),""),IF($C$70="Website",IFERROR(INDEX(Website!$F:$F,MATCH($B78,Website!$A:$A,0)),""),IF($C$70="Airbnb",IFERROR(INDEX(Airbnb!$E:$E,MATCH($B78,Airbnb!$A:$A,0)),""),""))))</f>
        <v>4</v>
      </c>
    </row>
    <row r="79" customFormat="false" ht="15" hidden="false" customHeight="true" outlineLevel="0" collapsed="false">
      <c r="B79" s="18" t="n">
        <f aca="false">Facebook!A9</f>
        <v>45702</v>
      </c>
      <c r="C79" s="1" t="n">
        <f aca="false">IF($C$70="Facebook",IFERROR(INDEX(Facebook!$F:$F,MATCH($B79,Facebook!$A:$A,0)),""),IF($C$70="Instagram",IFERROR(INDEX(Instagram!$F:$F,MATCH($B79,Instagram!$A:$A,0)),""),IF($C$70="Website",IFERROR(INDEX(Website!$B:$B,MATCH($B79,Website!$A:$A,0)),""),IF($C$70="Airbnb",IFERROR(INDEX(Airbnb!$C:$C,MATCH($B79,Airbnb!$A:$A,0)),""),""))))</f>
        <v>100</v>
      </c>
      <c r="D79" s="1" t="n">
        <f aca="false">IF($C$70="Facebook",IFERROR(INDEX(Facebook!$E:$E,MATCH($B79,Facebook!$A:$A,0)),""),IF($C$70="Instagram",IFERROR(INDEX(Instagram!$E:$E,MATCH($B79,Instagram!$A:$A,0)),""),IF($C$70="Website",IFERROR(INDEX(Website!$F:$F,MATCH($B79,Website!$A:$A,0)),""),IF($C$70="Airbnb",IFERROR(INDEX(Airbnb!$E:$E,MATCH($B79,Airbnb!$A:$A,0)),""),""))))</f>
        <v>2</v>
      </c>
    </row>
    <row r="80" customFormat="false" ht="15" hidden="false" customHeight="true" outlineLevel="0" collapsed="false">
      <c r="B80" s="18" t="n">
        <f aca="false">Facebook!A10</f>
        <v>45709</v>
      </c>
      <c r="C80" s="1" t="n">
        <f aca="false">IF($C$70="Facebook",IFERROR(INDEX(Facebook!$F:$F,MATCH($B80,Facebook!$A:$A,0)),""),IF($C$70="Instagram",IFERROR(INDEX(Instagram!$F:$F,MATCH($B80,Instagram!$A:$A,0)),""),IF($C$70="Website",IFERROR(INDEX(Website!$B:$B,MATCH($B80,Website!$A:$A,0)),""),IF($C$70="Airbnb",IFERROR(INDEX(Airbnb!$C:$C,MATCH($B80,Airbnb!$A:$A,0)),""),""))))</f>
        <v>26</v>
      </c>
      <c r="D80" s="1" t="n">
        <f aca="false">IF($C$70="Facebook",IFERROR(INDEX(Facebook!$E:$E,MATCH($B80,Facebook!$A:$A,0)),""),IF($C$70="Instagram",IFERROR(INDEX(Instagram!$E:$E,MATCH($B80,Instagram!$A:$A,0)),""),IF($C$70="Website",IFERROR(INDEX(Website!$F:$F,MATCH($B80,Website!$A:$A,0)),""),IF($C$70="Airbnb",IFERROR(INDEX(Airbnb!$E:$E,MATCH($B80,Airbnb!$A:$A,0)),""),""))))</f>
        <v>4</v>
      </c>
    </row>
    <row r="81" customFormat="false" ht="15" hidden="false" customHeight="true" outlineLevel="0" collapsed="false">
      <c r="B81" s="18" t="n">
        <f aca="false">Facebook!A11</f>
        <v>45716</v>
      </c>
      <c r="C81" s="1" t="n">
        <f aca="false">IF($C$70="Facebook",IFERROR(INDEX(Facebook!$F:$F,MATCH($B81,Facebook!$A:$A,0)),""),IF($C$70="Instagram",IFERROR(INDEX(Instagram!$F:$F,MATCH($B81,Instagram!$A:$A,0)),""),IF($C$70="Website",IFERROR(INDEX(Website!$B:$B,MATCH($B81,Website!$A:$A,0)),""),IF($C$70="Airbnb",IFERROR(INDEX(Airbnb!$C:$C,MATCH($B81,Airbnb!$A:$A,0)),""),""))))</f>
        <v>10</v>
      </c>
      <c r="D81" s="1" t="n">
        <f aca="false">IF($C$70="Facebook",IFERROR(INDEX(Facebook!$E:$E,MATCH($B81,Facebook!$A:$A,0)),""),IF($C$70="Instagram",IFERROR(INDEX(Instagram!$E:$E,MATCH($B81,Instagram!$A:$A,0)),""),IF($C$70="Website",IFERROR(INDEX(Website!$F:$F,MATCH($B81,Website!$A:$A,0)),""),IF($C$70="Airbnb",IFERROR(INDEX(Airbnb!$E:$E,MATCH($B81,Airbnb!$A:$A,0)),""),""))))</f>
        <v>2</v>
      </c>
    </row>
    <row r="82" customFormat="false" ht="15" hidden="false" customHeight="true" outlineLevel="0" collapsed="false">
      <c r="B82" s="18" t="n">
        <f aca="false">Facebook!A12</f>
        <v>45723</v>
      </c>
      <c r="C82" s="1" t="n">
        <f aca="false">IF($C$70="Facebook",IFERROR(INDEX(Facebook!$F:$F,MATCH($B82,Facebook!$A:$A,0)),""),IF($C$70="Instagram",IFERROR(INDEX(Instagram!$F:$F,MATCH($B82,Instagram!$A:$A,0)),""),IF($C$70="Website",IFERROR(INDEX(Website!$B:$B,MATCH($B82,Website!$A:$A,0)),""),IF($C$70="Airbnb",IFERROR(INDEX(Airbnb!$C:$C,MATCH($B82,Airbnb!$A:$A,0)),""),""))))</f>
        <v>5</v>
      </c>
      <c r="D82" s="1" t="n">
        <f aca="false">IF($C$70="Facebook",IFERROR(INDEX(Facebook!$E:$E,MATCH($B82,Facebook!$A:$A,0)),""),IF($C$70="Instagram",IFERROR(INDEX(Instagram!$E:$E,MATCH($B82,Instagram!$A:$A,0)),""),IF($C$70="Website",IFERROR(INDEX(Website!$F:$F,MATCH($B82,Website!$A:$A,0)),""),IF($C$70="Airbnb",IFERROR(INDEX(Airbnb!$E:$E,MATCH($B82,Airbnb!$A:$A,0)),""),""))))</f>
        <v>3</v>
      </c>
    </row>
    <row r="83" customFormat="false" ht="15" hidden="false" customHeight="true" outlineLevel="0" collapsed="false">
      <c r="B83" s="18" t="n">
        <f aca="false">Facebook!A13</f>
        <v>45730</v>
      </c>
      <c r="C83" s="1" t="n">
        <f aca="false">IF($C$70="Facebook",IFERROR(INDEX(Facebook!$F:$F,MATCH($B83,Facebook!$A:$A,0)),""),IF($C$70="Instagram",IFERROR(INDEX(Instagram!$F:$F,MATCH($B83,Instagram!$A:$A,0)),""),IF($C$70="Website",IFERROR(INDEX(Website!$B:$B,MATCH($B83,Website!$A:$A,0)),""),IF($C$70="Airbnb",IFERROR(INDEX(Airbnb!$C:$C,MATCH($B83,Airbnb!$A:$A,0)),""),""))))</f>
        <v>101</v>
      </c>
      <c r="D83" s="1" t="n">
        <f aca="false">IF($C$70="Facebook",IFERROR(INDEX(Facebook!$E:$E,MATCH($B83,Facebook!$A:$A,0)),""),IF($C$70="Instagram",IFERROR(INDEX(Instagram!$E:$E,MATCH($B83,Instagram!$A:$A,0)),""),IF($C$70="Website",IFERROR(INDEX(Website!$F:$F,MATCH($B83,Website!$A:$A,0)),""),IF($C$70="Airbnb",IFERROR(INDEX(Airbnb!$E:$E,MATCH($B83,Airbnb!$A:$A,0)),""),""))))</f>
        <v>2</v>
      </c>
    </row>
    <row r="84" customFormat="false" ht="15" hidden="false" customHeight="true" outlineLevel="0" collapsed="false">
      <c r="B84" s="18" t="n">
        <f aca="false">Facebook!A14</f>
        <v>45737</v>
      </c>
      <c r="C84" s="1" t="n">
        <f aca="false">IF($C$70="Facebook",IFERROR(INDEX(Facebook!$F:$F,MATCH($B84,Facebook!$A:$A,0)),""),IF($C$70="Instagram",IFERROR(INDEX(Instagram!$F:$F,MATCH($B84,Instagram!$A:$A,0)),""),IF($C$70="Website",IFERROR(INDEX(Website!$B:$B,MATCH($B84,Website!$A:$A,0)),""),IF($C$70="Airbnb",IFERROR(INDEX(Airbnb!$C:$C,MATCH($B84,Airbnb!$A:$A,0)),""),""))))</f>
        <v>1164</v>
      </c>
      <c r="D84" s="1" t="n">
        <f aca="false">IF($C$70="Facebook",IFERROR(INDEX(Facebook!$E:$E,MATCH($B84,Facebook!$A:$A,0)),""),IF($C$70="Instagram",IFERROR(INDEX(Instagram!$E:$E,MATCH($B84,Instagram!$A:$A,0)),""),IF($C$70="Website",IFERROR(INDEX(Website!$F:$F,MATCH($B84,Website!$A:$A,0)),""),IF($C$70="Airbnb",IFERROR(INDEX(Airbnb!$E:$E,MATCH($B84,Airbnb!$A:$A,0)),""),""))))</f>
        <v>17</v>
      </c>
    </row>
    <row r="85" customFormat="false" ht="15" hidden="false" customHeight="true" outlineLevel="0" collapsed="false">
      <c r="B85" s="18" t="n">
        <f aca="false">Facebook!A15</f>
        <v>45744</v>
      </c>
      <c r="C85" s="1" t="n">
        <f aca="false">IF($C$70="Facebook",IFERROR(INDEX(Facebook!$F:$F,MATCH($B85,Facebook!$A:$A,0)),""),IF($C$70="Instagram",IFERROR(INDEX(Instagram!$F:$F,MATCH($B85,Instagram!$A:$A,0)),""),IF($C$70="Website",IFERROR(INDEX(Website!$B:$B,MATCH($B85,Website!$A:$A,0)),""),IF($C$70="Airbnb",IFERROR(INDEX(Airbnb!$C:$C,MATCH($B85,Airbnb!$A:$A,0)),""),""))))</f>
        <v>1292</v>
      </c>
      <c r="D85" s="1" t="n">
        <f aca="false">IF($C$70="Facebook",IFERROR(INDEX(Facebook!$E:$E,MATCH($B85,Facebook!$A:$A,0)),""),IF($C$70="Instagram",IFERROR(INDEX(Instagram!$E:$E,MATCH($B85,Instagram!$A:$A,0)),""),IF($C$70="Website",IFERROR(INDEX(Website!$F:$F,MATCH($B85,Website!$A:$A,0)),""),IF($C$70="Airbnb",IFERROR(INDEX(Airbnb!$E:$E,MATCH($B85,Airbnb!$A:$A,0)),""),""))))</f>
        <v>9</v>
      </c>
    </row>
    <row r="86" customFormat="false" ht="15" hidden="false" customHeight="true" outlineLevel="0" collapsed="false">
      <c r="B86" s="18" t="n">
        <f aca="false">Facebook!A16</f>
        <v>45751</v>
      </c>
      <c r="C86" s="1" t="n">
        <f aca="false">IF($C$70="Facebook",IFERROR(INDEX(Facebook!$F:$F,MATCH($B86,Facebook!$A:$A,0)),""),IF($C$70="Instagram",IFERROR(INDEX(Instagram!$F:$F,MATCH($B86,Instagram!$A:$A,0)),""),IF($C$70="Website",IFERROR(INDEX(Website!$B:$B,MATCH($B86,Website!$A:$A,0)),""),IF($C$70="Airbnb",IFERROR(INDEX(Airbnb!$C:$C,MATCH($B86,Airbnb!$A:$A,0)),""),""))))</f>
        <v>1901</v>
      </c>
      <c r="D86" s="1" t="n">
        <f aca="false">IF($C$70="Facebook",IFERROR(INDEX(Facebook!$E:$E,MATCH($B86,Facebook!$A:$A,0)),""),IF($C$70="Instagram",IFERROR(INDEX(Instagram!$E:$E,MATCH($B86,Instagram!$A:$A,0)),""),IF($C$70="Website",IFERROR(INDEX(Website!$F:$F,MATCH($B86,Website!$A:$A,0)),""),IF($C$70="Airbnb",IFERROR(INDEX(Airbnb!$E:$E,MATCH($B86,Airbnb!$A:$A,0)),""),""))))</f>
        <v>7</v>
      </c>
    </row>
    <row r="87" customFormat="false" ht="15" hidden="false" customHeight="true" outlineLevel="0" collapsed="false">
      <c r="B87" s="18" t="n">
        <f aca="false">Facebook!A17</f>
        <v>45758</v>
      </c>
      <c r="C87" s="1" t="n">
        <f aca="false">IF($C$70="Facebook",IFERROR(INDEX(Facebook!$F:$F,MATCH($B87,Facebook!$A:$A,0)),""),IF($C$70="Instagram",IFERROR(INDEX(Instagram!$F:$F,MATCH($B87,Instagram!$A:$A,0)),""),IF($C$70="Website",IFERROR(INDEX(Website!$B:$B,MATCH($B87,Website!$A:$A,0)),""),IF($C$70="Airbnb",IFERROR(INDEX(Airbnb!$C:$C,MATCH($B87,Airbnb!$A:$A,0)),""),""))))</f>
        <v>395</v>
      </c>
      <c r="D87" s="1" t="n">
        <f aca="false">IF($C$70="Facebook",IFERROR(INDEX(Facebook!$E:$E,MATCH($B87,Facebook!$A:$A,0)),""),IF($C$70="Instagram",IFERROR(INDEX(Instagram!$E:$E,MATCH($B87,Instagram!$A:$A,0)),""),IF($C$70="Website",IFERROR(INDEX(Website!$F:$F,MATCH($B87,Website!$A:$A,0)),""),IF($C$70="Airbnb",IFERROR(INDEX(Airbnb!$E:$E,MATCH($B87,Airbnb!$A:$A,0)),""),""))))</f>
        <v>7</v>
      </c>
    </row>
    <row r="88" customFormat="false" ht="15" hidden="false" customHeight="true" outlineLevel="0" collapsed="false">
      <c r="B88" s="18" t="n">
        <f aca="false">Facebook!A18</f>
        <v>45765</v>
      </c>
      <c r="C88" s="1" t="n">
        <f aca="false">IF($C$70="Facebook",IFERROR(INDEX(Facebook!$F:$F,MATCH($B88,Facebook!$A:$A,0)),""),IF($C$70="Instagram",IFERROR(INDEX(Instagram!$F:$F,MATCH($B88,Instagram!$A:$A,0)),""),IF($C$70="Website",IFERROR(INDEX(Website!$B:$B,MATCH($B88,Website!$A:$A,0)),""),IF($C$70="Airbnb",IFERROR(INDEX(Airbnb!$C:$C,MATCH($B88,Airbnb!$A:$A,0)),""),""))))</f>
        <v>440</v>
      </c>
      <c r="D88" s="1" t="n">
        <f aca="false">IF($C$70="Facebook",IFERROR(INDEX(Facebook!$E:$E,MATCH($B88,Facebook!$A:$A,0)),""),IF($C$70="Instagram",IFERROR(INDEX(Instagram!$E:$E,MATCH($B88,Instagram!$A:$A,0)),""),IF($C$70="Website",IFERROR(INDEX(Website!$F:$F,MATCH($B88,Website!$A:$A,0)),""),IF($C$70="Airbnb",IFERROR(INDEX(Airbnb!$E:$E,MATCH($B88,Airbnb!$A:$A,0)),""),""))))</f>
        <v>71</v>
      </c>
    </row>
    <row r="89" customFormat="false" ht="15" hidden="false" customHeight="true" outlineLevel="0" collapsed="false">
      <c r="B89" s="18" t="n">
        <f aca="false">Facebook!A19</f>
        <v>45772</v>
      </c>
      <c r="C89" s="1" t="n">
        <f aca="false">IF($C$70="Facebook",IFERROR(INDEX(Facebook!$F:$F,MATCH($B89,Facebook!$A:$A,0)),""),IF($C$70="Instagram",IFERROR(INDEX(Instagram!$F:$F,MATCH($B89,Instagram!$A:$A,0)),""),IF($C$70="Website",IFERROR(INDEX(Website!$B:$B,MATCH($B89,Website!$A:$A,0)),""),IF($C$70="Airbnb",IFERROR(INDEX(Airbnb!$C:$C,MATCH($B89,Airbnb!$A:$A,0)),""),""))))</f>
        <v>806</v>
      </c>
      <c r="D89" s="1" t="n">
        <f aca="false">IF($C$70="Facebook",IFERROR(INDEX(Facebook!$E:$E,MATCH($B89,Facebook!$A:$A,0)),""),IF($C$70="Instagram",IFERROR(INDEX(Instagram!$E:$E,MATCH($B89,Instagram!$A:$A,0)),""),IF($C$70="Website",IFERROR(INDEX(Website!$F:$F,MATCH($B89,Website!$A:$A,0)),""),IF($C$70="Airbnb",IFERROR(INDEX(Airbnb!$E:$E,MATCH($B89,Airbnb!$A:$A,0)),""),""))))</f>
        <v>169</v>
      </c>
    </row>
    <row r="90" customFormat="false" ht="15" hidden="false" customHeight="true" outlineLevel="0" collapsed="false">
      <c r="B90" s="18" t="n">
        <f aca="false">Facebook!A20</f>
        <v>45779</v>
      </c>
      <c r="C90" s="1" t="n">
        <f aca="false">IF($C$70="Facebook",IFERROR(INDEX(Facebook!$F:$F,MATCH($B90,Facebook!$A:$A,0)),""),IF($C$70="Instagram",IFERROR(INDEX(Instagram!$F:$F,MATCH($B90,Instagram!$A:$A,0)),""),IF($C$70="Website",IFERROR(INDEX(Website!$B:$B,MATCH($B90,Website!$A:$A,0)),""),IF($C$70="Airbnb",IFERROR(INDEX(Airbnb!$C:$C,MATCH($B90,Airbnb!$A:$A,0)),""),""))))</f>
        <v>1193</v>
      </c>
      <c r="D90" s="1" t="n">
        <f aca="false">IF($C$70="Facebook",IFERROR(INDEX(Facebook!$E:$E,MATCH($B90,Facebook!$A:$A,0)),""),IF($C$70="Instagram",IFERROR(INDEX(Instagram!$E:$E,MATCH($B90,Instagram!$A:$A,0)),""),IF($C$70="Website",IFERROR(INDEX(Website!$F:$F,MATCH($B90,Website!$A:$A,0)),""),IF($C$70="Airbnb",IFERROR(INDEX(Airbnb!$E:$E,MATCH($B90,Airbnb!$A:$A,0)),""),""))))</f>
        <v>44</v>
      </c>
    </row>
    <row r="91" customFormat="false" ht="15" hidden="false" customHeight="true" outlineLevel="0" collapsed="false">
      <c r="B91" s="18" t="n">
        <f aca="false">Facebook!A21</f>
        <v>45786</v>
      </c>
      <c r="C91" s="1" t="n">
        <f aca="false">IF($C$70="Facebook",IFERROR(INDEX(Facebook!$F:$F,MATCH($B91,Facebook!$A:$A,0)),""),IF($C$70="Instagram",IFERROR(INDEX(Instagram!$F:$F,MATCH($B91,Instagram!$A:$A,0)),""),IF($C$70="Website",IFERROR(INDEX(Website!$B:$B,MATCH($B91,Website!$A:$A,0)),""),IF($C$70="Airbnb",IFERROR(INDEX(Airbnb!$C:$C,MATCH($B91,Airbnb!$A:$A,0)),""),""))))</f>
        <v>33</v>
      </c>
      <c r="D91" s="1" t="n">
        <f aca="false">IF($C$70="Facebook",IFERROR(INDEX(Facebook!$E:$E,MATCH($B91,Facebook!$A:$A,0)),""),IF($C$70="Instagram",IFERROR(INDEX(Instagram!$E:$E,MATCH($B91,Instagram!$A:$A,0)),""),IF($C$70="Website",IFERROR(INDEX(Website!$F:$F,MATCH($B91,Website!$A:$A,0)),""),IF($C$70="Airbnb",IFERROR(INDEX(Airbnb!$E:$E,MATCH($B91,Airbnb!$A:$A,0)),""),""))))</f>
        <v>5</v>
      </c>
    </row>
    <row r="92" customFormat="false" ht="15" hidden="false" customHeight="true" outlineLevel="0" collapsed="false">
      <c r="B92" s="18" t="n">
        <f aca="false">Facebook!A22</f>
        <v>45793</v>
      </c>
      <c r="C92" s="1" t="n">
        <f aca="false">IF($C$70="Facebook",IFERROR(INDEX(Facebook!$F:$F,MATCH($B92,Facebook!$A:$A,0)),""),IF($C$70="Instagram",IFERROR(INDEX(Instagram!$F:$F,MATCH($B92,Instagram!$A:$A,0)),""),IF($C$70="Website",IFERROR(INDEX(Website!$B:$B,MATCH($B92,Website!$A:$A,0)),""),IF($C$70="Airbnb",IFERROR(INDEX(Airbnb!$C:$C,MATCH($B92,Airbnb!$A:$A,0)),""),""))))</f>
        <v>244</v>
      </c>
      <c r="D92" s="1" t="n">
        <f aca="false">IF($C$70="Facebook",IFERROR(INDEX(Facebook!$E:$E,MATCH($B92,Facebook!$A:$A,0)),""),IF($C$70="Instagram",IFERROR(INDEX(Instagram!$E:$E,MATCH($B92,Instagram!$A:$A,0)),""),IF($C$70="Website",IFERROR(INDEX(Website!$F:$F,MATCH($B92,Website!$A:$A,0)),""),IF($C$70="Airbnb",IFERROR(INDEX(Airbnb!$E:$E,MATCH($B92,Airbnb!$A:$A,0)),""),""))))</f>
        <v>10</v>
      </c>
    </row>
    <row r="93" customFormat="false" ht="15" hidden="false" customHeight="true" outlineLevel="0" collapsed="false">
      <c r="B93" s="18" t="n">
        <f aca="false">Facebook!A23</f>
        <v>45800</v>
      </c>
      <c r="C93" s="1" t="n">
        <f aca="false">IF($C$70="Facebook",IFERROR(INDEX(Facebook!$F:$F,MATCH($B93,Facebook!$A:$A,0)),""),IF($C$70="Instagram",IFERROR(INDEX(Instagram!$F:$F,MATCH($B93,Instagram!$A:$A,0)),""),IF($C$70="Website",IFERROR(INDEX(Website!$B:$B,MATCH($B93,Website!$A:$A,0)),""),IF($C$70="Airbnb",IFERROR(INDEX(Airbnb!$C:$C,MATCH($B93,Airbnb!$A:$A,0)),""),""))))</f>
        <v>52</v>
      </c>
      <c r="D93" s="1" t="n">
        <f aca="false">IF($C$70="Facebook",IFERROR(INDEX(Facebook!$E:$E,MATCH($B93,Facebook!$A:$A,0)),""),IF($C$70="Instagram",IFERROR(INDEX(Instagram!$E:$E,MATCH($B93,Instagram!$A:$A,0)),""),IF($C$70="Website",IFERROR(INDEX(Website!$F:$F,MATCH($B93,Website!$A:$A,0)),""),IF($C$70="Airbnb",IFERROR(INDEX(Airbnb!$E:$E,MATCH($B93,Airbnb!$A:$A,0)),""),""))))</f>
        <v>5</v>
      </c>
    </row>
    <row r="94" customFormat="false" ht="15" hidden="false" customHeight="true" outlineLevel="0" collapsed="false">
      <c r="B94" s="18" t="n">
        <f aca="false">Facebook!A24</f>
        <v>45807</v>
      </c>
      <c r="C94" s="1" t="n">
        <f aca="false">IF($C$70="Facebook",IFERROR(INDEX(Facebook!$F:$F,MATCH($B94,Facebook!$A:$A,0)),""),IF($C$70="Instagram",IFERROR(INDEX(Instagram!$F:$F,MATCH($B94,Instagram!$A:$A,0)),""),IF($C$70="Website",IFERROR(INDEX(Website!$B:$B,MATCH($B94,Website!$A:$A,0)),""),IF($C$70="Airbnb",IFERROR(INDEX(Airbnb!$C:$C,MATCH($B94,Airbnb!$A:$A,0)),""),""))))</f>
        <v>50</v>
      </c>
      <c r="D94" s="1" t="n">
        <f aca="false">IF($C$70="Facebook",IFERROR(INDEX(Facebook!$E:$E,MATCH($B94,Facebook!$A:$A,0)),""),IF($C$70="Instagram",IFERROR(INDEX(Instagram!$E:$E,MATCH($B94,Instagram!$A:$A,0)),""),IF($C$70="Website",IFERROR(INDEX(Website!$F:$F,MATCH($B94,Website!$A:$A,0)),""),IF($C$70="Airbnb",IFERROR(INDEX(Airbnb!$E:$E,MATCH($B94,Airbnb!$A:$A,0)),""),""))))</f>
        <v>10</v>
      </c>
    </row>
    <row r="95" customFormat="false" ht="15" hidden="false" customHeight="true" outlineLevel="0" collapsed="false">
      <c r="B95" s="18" t="n">
        <f aca="false">Facebook!A25</f>
        <v>45814</v>
      </c>
      <c r="C95" s="1" t="n">
        <f aca="false">IF($C$70="Facebook",IFERROR(INDEX(Facebook!$F:$F,MATCH($B95,Facebook!$A:$A,0)),""),IF($C$70="Instagram",IFERROR(INDEX(Instagram!$F:$F,MATCH($B95,Instagram!$A:$A,0)),""),IF($C$70="Website",IFERROR(INDEX(Website!$B:$B,MATCH($B95,Website!$A:$A,0)),""),IF($C$70="Airbnb",IFERROR(INDEX(Airbnb!$C:$C,MATCH($B95,Airbnb!$A:$A,0)),""),""))))</f>
        <v>55</v>
      </c>
      <c r="D95" s="1" t="n">
        <f aca="false">IF($C$70="Facebook",IFERROR(INDEX(Facebook!$E:$E,MATCH($B95,Facebook!$A:$A,0)),""),IF($C$70="Instagram",IFERROR(INDEX(Instagram!$E:$E,MATCH($B95,Instagram!$A:$A,0)),""),IF($C$70="Website",IFERROR(INDEX(Website!$F:$F,MATCH($B95,Website!$A:$A,0)),""),IF($C$70="Airbnb",IFERROR(INDEX(Airbnb!$E:$E,MATCH($B95,Airbnb!$A:$A,0)),""),""))))</f>
        <v>20</v>
      </c>
    </row>
    <row r="96" customFormat="false" ht="15" hidden="false" customHeight="true" outlineLevel="0" collapsed="false">
      <c r="B96" s="18" t="n">
        <f aca="false">Facebook!A26</f>
        <v>45821</v>
      </c>
      <c r="C96" s="1" t="n">
        <f aca="false">IF($C$70="Facebook",IFERROR(INDEX(Facebook!$F:$F,MATCH($B96,Facebook!$A:$A,0)),""),IF($C$70="Instagram",IFERROR(INDEX(Instagram!$F:$F,MATCH($B96,Instagram!$A:$A,0)),""),IF($C$70="Website",IFERROR(INDEX(Website!$B:$B,MATCH($B96,Website!$A:$A,0)),""),IF($C$70="Airbnb",IFERROR(INDEX(Airbnb!$C:$C,MATCH($B96,Airbnb!$A:$A,0)),""),""))))</f>
        <v>34</v>
      </c>
      <c r="D96" s="1" t="n">
        <f aca="false">IF($C$70="Facebook",IFERROR(INDEX(Facebook!$E:$E,MATCH($B96,Facebook!$A:$A,0)),""),IF($C$70="Instagram",IFERROR(INDEX(Instagram!$E:$E,MATCH($B96,Instagram!$A:$A,0)),""),IF($C$70="Website",IFERROR(INDEX(Website!$F:$F,MATCH($B96,Website!$A:$A,0)),""),IF($C$70="Airbnb",IFERROR(INDEX(Airbnb!$E:$E,MATCH($B96,Airbnb!$A:$A,0)),""),""))))</f>
        <v>11</v>
      </c>
    </row>
    <row r="97" customFormat="false" ht="15" hidden="false" customHeight="true" outlineLevel="0" collapsed="false">
      <c r="B97" s="18" t="n">
        <f aca="false">Facebook!A27</f>
        <v>45828</v>
      </c>
      <c r="C97" s="1" t="n">
        <f aca="false">IF($C$70="Facebook",IFERROR(INDEX(Facebook!$F:$F,MATCH($B97,Facebook!$A:$A,0)),""),IF($C$70="Instagram",IFERROR(INDEX(Instagram!$F:$F,MATCH($B97,Instagram!$A:$A,0)),""),IF($C$70="Website",IFERROR(INDEX(Website!$B:$B,MATCH($B97,Website!$A:$A,0)),""),IF($C$70="Airbnb",IFERROR(INDEX(Airbnb!$C:$C,MATCH($B97,Airbnb!$A:$A,0)),""),""))))</f>
        <v>56</v>
      </c>
      <c r="D97" s="1" t="n">
        <f aca="false">IF($C$70="Facebook",IFERROR(INDEX(Facebook!$E:$E,MATCH($B97,Facebook!$A:$A,0)),""),IF($C$70="Instagram",IFERROR(INDEX(Instagram!$E:$E,MATCH($B97,Instagram!$A:$A,0)),""),IF($C$70="Website",IFERROR(INDEX(Website!$F:$F,MATCH($B97,Website!$A:$A,0)),""),IF($C$70="Airbnb",IFERROR(INDEX(Airbnb!$E:$E,MATCH($B97,Airbnb!$A:$A,0)),""),""))))</f>
        <v>20</v>
      </c>
    </row>
    <row r="98" customFormat="false" ht="15" hidden="false" customHeight="true" outlineLevel="0" collapsed="false">
      <c r="B98" s="18" t="n">
        <f aca="false">Facebook!A28</f>
        <v>45835</v>
      </c>
      <c r="C98" s="1" t="n">
        <f aca="false">IF($C$70="Facebook",IFERROR(INDEX(Facebook!$F:$F,MATCH($B98,Facebook!$A:$A,0)),""),IF($C$70="Instagram",IFERROR(INDEX(Instagram!$F:$F,MATCH($B98,Instagram!$A:$A,0)),""),IF($C$70="Website",IFERROR(INDEX(Website!$B:$B,MATCH($B98,Website!$A:$A,0)),""),IF($C$70="Airbnb",IFERROR(INDEX(Airbnb!$C:$C,MATCH($B98,Airbnb!$A:$A,0)),""),""))))</f>
        <v>50</v>
      </c>
      <c r="D98" s="1" t="n">
        <f aca="false">IF($C$70="Facebook",IFERROR(INDEX(Facebook!$E:$E,MATCH($B98,Facebook!$A:$A,0)),""),IF($C$70="Instagram",IFERROR(INDEX(Instagram!$E:$E,MATCH($B98,Instagram!$A:$A,0)),""),IF($C$70="Website",IFERROR(INDEX(Website!$F:$F,MATCH($B98,Website!$A:$A,0)),""),IF($C$70="Airbnb",IFERROR(INDEX(Airbnb!$E:$E,MATCH($B98,Airbnb!$A:$A,0)),""),""))))</f>
        <v>22</v>
      </c>
    </row>
    <row r="99" customFormat="false" ht="15" hidden="false" customHeight="true" outlineLevel="0" collapsed="false">
      <c r="B99" s="18" t="n">
        <f aca="false">Facebook!A29</f>
        <v>45842</v>
      </c>
      <c r="C99" s="1" t="n">
        <f aca="false">IF($C$70="Facebook",IFERROR(INDEX(Facebook!$F:$F,MATCH($B99,Facebook!$A:$A,0)),""),IF($C$70="Instagram",IFERROR(INDEX(Instagram!$F:$F,MATCH($B99,Instagram!$A:$A,0)),""),IF($C$70="Website",IFERROR(INDEX(Website!$B:$B,MATCH($B99,Website!$A:$A,0)),""),IF($C$70="Airbnb",IFERROR(INDEX(Airbnb!$C:$C,MATCH($B99,Airbnb!$A:$A,0)),""),""))))</f>
        <v>34</v>
      </c>
      <c r="D99" s="1" t="n">
        <f aca="false">IF($C$70="Facebook",IFERROR(INDEX(Facebook!$E:$E,MATCH($B99,Facebook!$A:$A,0)),""),IF($C$70="Instagram",IFERROR(INDEX(Instagram!$E:$E,MATCH($B99,Instagram!$A:$A,0)),""),IF($C$70="Website",IFERROR(INDEX(Website!$F:$F,MATCH($B99,Website!$A:$A,0)),""),IF($C$70="Airbnb",IFERROR(INDEX(Airbnb!$E:$E,MATCH($B99,Airbnb!$A:$A,0)),""),""))))</f>
        <v>59</v>
      </c>
    </row>
    <row r="100" customFormat="false" ht="15" hidden="false" customHeight="true" outlineLevel="0" collapsed="false">
      <c r="B100" s="18" t="n">
        <f aca="false">Facebook!A30</f>
        <v>45849</v>
      </c>
      <c r="C100" s="1" t="n">
        <f aca="false">IF($C$70="Facebook",IFERROR(INDEX(Facebook!$F:$F,MATCH($B100,Facebook!$A:$A,0)),""),IF($C$70="Instagram",IFERROR(INDEX(Instagram!$F:$F,MATCH($B100,Instagram!$A:$A,0)),""),IF($C$70="Website",IFERROR(INDEX(Website!$B:$B,MATCH($B100,Website!$A:$A,0)),""),IF($C$70="Airbnb",IFERROR(INDEX(Airbnb!$C:$C,MATCH($B100,Airbnb!$A:$A,0)),""),""))))</f>
        <v>32</v>
      </c>
      <c r="D100" s="1" t="n">
        <f aca="false">IF($C$70="Facebook",IFERROR(INDEX(Facebook!$E:$E,MATCH($B100,Facebook!$A:$A,0)),""),IF($C$70="Instagram",IFERROR(INDEX(Instagram!$E:$E,MATCH($B100,Instagram!$A:$A,0)),""),IF($C$70="Website",IFERROR(INDEX(Website!$F:$F,MATCH($B100,Website!$A:$A,0)),""),IF($C$70="Airbnb",IFERROR(INDEX(Airbnb!$E:$E,MATCH($B100,Airbnb!$A:$A,0)),""),""))))</f>
        <v>23</v>
      </c>
    </row>
    <row r="101" customFormat="false" ht="15" hidden="false" customHeight="true" outlineLevel="0" collapsed="false">
      <c r="B101" s="18" t="n">
        <f aca="false">Facebook!A31</f>
        <v>45856</v>
      </c>
      <c r="C101" s="1" t="n">
        <f aca="false">IF($C$70="Facebook",IFERROR(INDEX(Facebook!$F:$F,MATCH($B101,Facebook!$A:$A,0)),""),IF($C$70="Instagram",IFERROR(INDEX(Instagram!$F:$F,MATCH($B101,Instagram!$A:$A,0)),""),IF($C$70="Website",IFERROR(INDEX(Website!$B:$B,MATCH($B101,Website!$A:$A,0)),""),IF($C$70="Airbnb",IFERROR(INDEX(Airbnb!$C:$C,MATCH($B101,Airbnb!$A:$A,0)),""),""))))</f>
        <v>43</v>
      </c>
      <c r="D101" s="1" t="n">
        <f aca="false">IF($C$70="Facebook",IFERROR(INDEX(Facebook!$E:$E,MATCH($B101,Facebook!$A:$A,0)),""),IF($C$70="Instagram",IFERROR(INDEX(Instagram!$E:$E,MATCH($B101,Instagram!$A:$A,0)),""),IF($C$70="Website",IFERROR(INDEX(Website!$F:$F,MATCH($B101,Website!$A:$A,0)),""),IF($C$70="Airbnb",IFERROR(INDEX(Airbnb!$E:$E,MATCH($B101,Airbnb!$A:$A,0)),""),""))))</f>
        <v>25</v>
      </c>
    </row>
    <row r="102" customFormat="false" ht="15" hidden="false" customHeight="true" outlineLevel="0" collapsed="false">
      <c r="B102" s="18" t="n">
        <f aca="false">Facebook!A32</f>
        <v>45863</v>
      </c>
      <c r="C102" s="1" t="n">
        <f aca="false">IF($C$70="Facebook",IFERROR(INDEX(Facebook!$F:$F,MATCH($B102,Facebook!$A:$A,0)),""),IF($C$70="Instagram",IFERROR(INDEX(Instagram!$F:$F,MATCH($B102,Instagram!$A:$A,0)),""),IF($C$70="Website",IFERROR(INDEX(Website!$B:$B,MATCH($B102,Website!$A:$A,0)),""),IF($C$70="Airbnb",IFERROR(INDEX(Airbnb!$C:$C,MATCH($B102,Airbnb!$A:$A,0)),""),""))))</f>
        <v>23</v>
      </c>
      <c r="D102" s="1" t="n">
        <f aca="false">IF($C$70="Facebook",IFERROR(INDEX(Facebook!$E:$E,MATCH($B102,Facebook!$A:$A,0)),""),IF($C$70="Instagram",IFERROR(INDEX(Instagram!$E:$E,MATCH($B102,Instagram!$A:$A,0)),""),IF($C$70="Website",IFERROR(INDEX(Website!$F:$F,MATCH($B102,Website!$A:$A,0)),""),IF($C$70="Airbnb",IFERROR(INDEX(Airbnb!$E:$E,MATCH($B102,Airbnb!$A:$A,0)),""),""))))</f>
        <v>24</v>
      </c>
    </row>
    <row r="103" customFormat="false" ht="15" hidden="false" customHeight="true" outlineLevel="0" collapsed="false">
      <c r="B103" s="18" t="n">
        <f aca="false">Facebook!A33</f>
        <v>45870</v>
      </c>
      <c r="C103" s="1" t="n">
        <f aca="false">IF($C$70="Facebook",IFERROR(INDEX(Facebook!$F:$F,MATCH($B103,Facebook!$A:$A,0)),""),IF($C$70="Instagram",IFERROR(INDEX(Instagram!$F:$F,MATCH($B103,Instagram!$A:$A,0)),""),IF($C$70="Website",IFERROR(INDEX(Website!$B:$B,MATCH($B103,Website!$A:$A,0)),""),IF($C$70="Airbnb",IFERROR(INDEX(Airbnb!$C:$C,MATCH($B103,Airbnb!$A:$A,0)),""),""))))</f>
        <v>45</v>
      </c>
      <c r="D103" s="1" t="n">
        <f aca="false">IF($C$70="Facebook",IFERROR(INDEX(Facebook!$E:$E,MATCH($B103,Facebook!$A:$A,0)),""),IF($C$70="Instagram",IFERROR(INDEX(Instagram!$E:$E,MATCH($B103,Instagram!$A:$A,0)),""),IF($C$70="Website",IFERROR(INDEX(Website!$F:$F,MATCH($B103,Website!$A:$A,0)),""),IF($C$70="Airbnb",IFERROR(INDEX(Airbnb!$E:$E,MATCH($B103,Airbnb!$A:$A,0)),""),""))))</f>
        <v>22</v>
      </c>
    </row>
    <row r="104" customFormat="false" ht="15" hidden="false" customHeight="true" outlineLevel="0" collapsed="false">
      <c r="B104" s="18" t="n">
        <f aca="false">Facebook!A34</f>
        <v>45877</v>
      </c>
      <c r="C104" s="1" t="n">
        <f aca="false">IF($C$70="Facebook",IFERROR(INDEX(Facebook!$F:$F,MATCH($B104,Facebook!$A:$A,0)),""),IF($C$70="Instagram",IFERROR(INDEX(Instagram!$F:$F,MATCH($B104,Instagram!$A:$A,0)),""),IF($C$70="Website",IFERROR(INDEX(Website!$B:$B,MATCH($B104,Website!$A:$A,0)),""),IF($C$70="Airbnb",IFERROR(INDEX(Airbnb!$C:$C,MATCH($B104,Airbnb!$A:$A,0)),""),""))))</f>
        <v>24</v>
      </c>
      <c r="D104" s="1" t="n">
        <f aca="false">IF($C$70="Facebook",IFERROR(INDEX(Facebook!$E:$E,MATCH($B104,Facebook!$A:$A,0)),""),IF($C$70="Instagram",IFERROR(INDEX(Instagram!$E:$E,MATCH($B104,Instagram!$A:$A,0)),""),IF($C$70="Website",IFERROR(INDEX(Website!$F:$F,MATCH($B104,Website!$A:$A,0)),""),IF($C$70="Airbnb",IFERROR(INDEX(Airbnb!$E:$E,MATCH($B104,Airbnb!$A:$A,0)),""),""))))</f>
        <v>11</v>
      </c>
    </row>
    <row r="105" customFormat="false" ht="15" hidden="false" customHeight="true" outlineLevel="0" collapsed="false">
      <c r="B105" s="18" t="n">
        <f aca="false">Facebook!A35</f>
        <v>45884</v>
      </c>
      <c r="C105" s="1" t="n">
        <f aca="false">IF($C$70="Facebook",IFERROR(INDEX(Facebook!$F:$F,MATCH($B105,Facebook!$A:$A,0)),""),IF($C$70="Instagram",IFERROR(INDEX(Instagram!$F:$F,MATCH($B105,Instagram!$A:$A,0)),""),IF($C$70="Website",IFERROR(INDEX(Website!$B:$B,MATCH($B105,Website!$A:$A,0)),""),IF($C$70="Airbnb",IFERROR(INDEX(Airbnb!$C:$C,MATCH($B105,Airbnb!$A:$A,0)),""),""))))</f>
        <v>23</v>
      </c>
      <c r="D105" s="1" t="n">
        <f aca="false">IF($C$70="Facebook",IFERROR(INDEX(Facebook!$E:$E,MATCH($B105,Facebook!$A:$A,0)),""),IF($C$70="Instagram",IFERROR(INDEX(Instagram!$E:$E,MATCH($B105,Instagram!$A:$A,0)),""),IF($C$70="Website",IFERROR(INDEX(Website!$F:$F,MATCH($B105,Website!$A:$A,0)),""),IF($C$70="Airbnb",IFERROR(INDEX(Airbnb!$E:$E,MATCH($B105,Airbnb!$A:$A,0)),""),""))))</f>
        <v>10</v>
      </c>
    </row>
    <row r="106" customFormat="false" ht="15" hidden="false" customHeight="true" outlineLevel="0" collapsed="false">
      <c r="B106" s="18" t="n">
        <f aca="false">Facebook!A36</f>
        <v>45891</v>
      </c>
      <c r="C106" s="1" t="n">
        <f aca="false">IF($C$70="Facebook",IFERROR(INDEX(Facebook!$F:$F,MATCH($B106,Facebook!$A:$A,0)),""),IF($C$70="Instagram",IFERROR(INDEX(Instagram!$F:$F,MATCH($B106,Instagram!$A:$A,0)),""),IF($C$70="Website",IFERROR(INDEX(Website!$B:$B,MATCH($B106,Website!$A:$A,0)),""),IF($C$70="Airbnb",IFERROR(INDEX(Airbnb!$C:$C,MATCH($B106,Airbnb!$A:$A,0)),""),""))))</f>
        <v>1</v>
      </c>
      <c r="D106" s="1" t="n">
        <f aca="false">IF($C$70="Facebook",IFERROR(INDEX(Facebook!$E:$E,MATCH($B106,Facebook!$A:$A,0)),""),IF($C$70="Instagram",IFERROR(INDEX(Instagram!$E:$E,MATCH($B106,Instagram!$A:$A,0)),""),IF($C$70="Website",IFERROR(INDEX(Website!$F:$F,MATCH($B106,Website!$A:$A,0)),""),IF($C$70="Airbnb",IFERROR(INDEX(Airbnb!$E:$E,MATCH($B106,Airbnb!$A:$A,0)),""),""))))</f>
        <v>53</v>
      </c>
    </row>
    <row r="107" customFormat="false" ht="15" hidden="false" customHeight="true" outlineLevel="0" collapsed="false">
      <c r="B107" s="18" t="n">
        <f aca="false">Facebook!A37</f>
        <v>45898</v>
      </c>
      <c r="C107" s="1" t="n">
        <f aca="false">IF($C$70="Facebook",IFERROR(INDEX(Facebook!$F:$F,MATCH($B107,Facebook!$A:$A,0)),""),IF($C$70="Instagram",IFERROR(INDEX(Instagram!$F:$F,MATCH($B107,Instagram!$A:$A,0)),""),IF($C$70="Website",IFERROR(INDEX(Website!$B:$B,MATCH($B107,Website!$A:$A,0)),""),IF($C$70="Airbnb",IFERROR(INDEX(Airbnb!$C:$C,MATCH($B107,Airbnb!$A:$A,0)),""),""))))</f>
        <v>10</v>
      </c>
      <c r="D107" s="1" t="n">
        <f aca="false">IF($C$70="Facebook",IFERROR(INDEX(Facebook!$E:$E,MATCH($B107,Facebook!$A:$A,0)),""),IF($C$70="Instagram",IFERROR(INDEX(Instagram!$E:$E,MATCH($B107,Instagram!$A:$A,0)),""),IF($C$70="Website",IFERROR(INDEX(Website!$F:$F,MATCH($B107,Website!$A:$A,0)),""),IF($C$70="Airbnb",IFERROR(INDEX(Airbnb!$E:$E,MATCH($B107,Airbnb!$A:$A,0)),""),""))))</f>
        <v>43</v>
      </c>
    </row>
    <row r="108" customFormat="false" ht="15" hidden="false" customHeight="true" outlineLevel="0" collapsed="false">
      <c r="B108" s="18" t="n">
        <f aca="false">Facebook!A38</f>
        <v>45905</v>
      </c>
      <c r="C108" s="1" t="n">
        <f aca="false">IF($C$70="Facebook",IFERROR(INDEX(Facebook!$F:$F,MATCH($B108,Facebook!$A:$A,0)),""),IF($C$70="Instagram",IFERROR(INDEX(Instagram!$F:$F,MATCH($B108,Instagram!$A:$A,0)),""),IF($C$70="Website",IFERROR(INDEX(Website!$B:$B,MATCH($B108,Website!$A:$A,0)),""),IF($C$70="Airbnb",IFERROR(INDEX(Airbnb!$C:$C,MATCH($B108,Airbnb!$A:$A,0)),""),""))))</f>
        <v>9</v>
      </c>
      <c r="D108" s="1" t="n">
        <f aca="false">IF($C$70="Facebook",IFERROR(INDEX(Facebook!$E:$E,MATCH($B108,Facebook!$A:$A,0)),""),IF($C$70="Instagram",IFERROR(INDEX(Instagram!$E:$E,MATCH($B108,Instagram!$A:$A,0)),""),IF($C$70="Website",IFERROR(INDEX(Website!$F:$F,MATCH($B108,Website!$A:$A,0)),""),IF($C$70="Airbnb",IFERROR(INDEX(Airbnb!$E:$E,MATCH($B108,Airbnb!$A:$A,0)),""),""))))</f>
        <v>38</v>
      </c>
    </row>
    <row r="109" customFormat="false" ht="15" hidden="false" customHeight="true" outlineLevel="0" collapsed="false">
      <c r="B109" s="18" t="n">
        <f aca="false">Facebook!A39</f>
        <v>45912</v>
      </c>
      <c r="C109" s="1" t="n">
        <f aca="false">IF($C$70="Facebook",IFERROR(INDEX(Facebook!$F:$F,MATCH($B109,Facebook!$A:$A,0)),""),IF($C$70="Instagram",IFERROR(INDEX(Instagram!$F:$F,MATCH($B109,Instagram!$A:$A,0)),""),IF($C$70="Website",IFERROR(INDEX(Website!$B:$B,MATCH($B109,Website!$A:$A,0)),""),IF($C$70="Airbnb",IFERROR(INDEX(Airbnb!$C:$C,MATCH($B109,Airbnb!$A:$A,0)),""),""))))</f>
        <v>12</v>
      </c>
      <c r="D109" s="1" t="n">
        <f aca="false">IF($C$70="Facebook",IFERROR(INDEX(Facebook!$E:$E,MATCH($B109,Facebook!$A:$A,0)),""),IF($C$70="Instagram",IFERROR(INDEX(Instagram!$E:$E,MATCH($B109,Instagram!$A:$A,0)),""),IF($C$70="Website",IFERROR(INDEX(Website!$F:$F,MATCH($B109,Website!$A:$A,0)),""),IF($C$70="Airbnb",IFERROR(INDEX(Airbnb!$E:$E,MATCH($B109,Airbnb!$A:$A,0)),""),""))))</f>
        <v>43</v>
      </c>
    </row>
    <row r="110" customFormat="false" ht="15" hidden="false" customHeight="true" outlineLevel="0" collapsed="false">
      <c r="B110" s="18" t="n">
        <f aca="false">Facebook!A40</f>
        <v>45919</v>
      </c>
      <c r="C110" s="1" t="n">
        <f aca="false">IF($C$70="Facebook",IFERROR(INDEX(Facebook!$F:$F,MATCH($B110,Facebook!$A:$A,0)),""),IF($C$70="Instagram",IFERROR(INDEX(Instagram!$F:$F,MATCH($B110,Instagram!$A:$A,0)),""),IF($C$70="Website",IFERROR(INDEX(Website!$B:$B,MATCH($B110,Website!$A:$A,0)),""),IF($C$70="Airbnb",IFERROR(INDEX(Airbnb!$C:$C,MATCH($B110,Airbnb!$A:$A,0)),""),""))))</f>
        <v>13</v>
      </c>
      <c r="D110" s="1" t="n">
        <f aca="false">IF($C$70="Facebook",IFERROR(INDEX(Facebook!$E:$E,MATCH($B110,Facebook!$A:$A,0)),""),IF($C$70="Instagram",IFERROR(INDEX(Instagram!$E:$E,MATCH($B110,Instagram!$A:$A,0)),""),IF($C$70="Website",IFERROR(INDEX(Website!$F:$F,MATCH($B110,Website!$A:$A,0)),""),IF($C$70="Airbnb",IFERROR(INDEX(Airbnb!$E:$E,MATCH($B110,Airbnb!$A:$A,0)),""),""))))</f>
        <v>40</v>
      </c>
    </row>
    <row r="111" customFormat="false" ht="15" hidden="false" customHeight="true" outlineLevel="0" collapsed="false">
      <c r="B111" s="18" t="n">
        <f aca="false">Facebook!A41</f>
        <v>45926</v>
      </c>
      <c r="C111" s="1" t="n">
        <f aca="false">IF($C$70="Facebook",IFERROR(INDEX(Facebook!$F:$F,MATCH($B111,Facebook!$A:$A,0)),""),IF($C$70="Instagram",IFERROR(INDEX(Instagram!$F:$F,MATCH($B111,Instagram!$A:$A,0)),""),IF($C$70="Website",IFERROR(INDEX(Website!$B:$B,MATCH($B111,Website!$A:$A,0)),""),IF($C$70="Airbnb",IFERROR(INDEX(Airbnb!$C:$C,MATCH($B111,Airbnb!$A:$A,0)),""),""))))</f>
        <v>14</v>
      </c>
      <c r="D111" s="1" t="n">
        <f aca="false">IF($C$70="Facebook",IFERROR(INDEX(Facebook!$E:$E,MATCH($B111,Facebook!$A:$A,0)),""),IF($C$70="Instagram",IFERROR(INDEX(Instagram!$E:$E,MATCH($B111,Instagram!$A:$A,0)),""),IF($C$70="Website",IFERROR(INDEX(Website!$F:$F,MATCH($B111,Website!$A:$A,0)),""),IF($C$70="Airbnb",IFERROR(INDEX(Airbnb!$E:$E,MATCH($B111,Airbnb!$A:$A,0)),""),""))))</f>
        <v>5</v>
      </c>
    </row>
    <row r="112" customFormat="false" ht="15" hidden="false" customHeight="true" outlineLevel="0" collapsed="false">
      <c r="B112" s="18" t="n">
        <f aca="false">Facebook!A42</f>
        <v>45933</v>
      </c>
      <c r="C112" s="1" t="n">
        <f aca="false">IF($C$70="Facebook",IFERROR(INDEX(Facebook!$F:$F,MATCH($B112,Facebook!$A:$A,0)),""),IF($C$70="Instagram",IFERROR(INDEX(Instagram!$F:$F,MATCH($B112,Instagram!$A:$A,0)),""),IF($C$70="Website",IFERROR(INDEX(Website!$B:$B,MATCH($B112,Website!$A:$A,0)),""),IF($C$70="Airbnb",IFERROR(INDEX(Airbnb!$C:$C,MATCH($B112,Airbnb!$A:$A,0)),""),""))))</f>
        <v>11</v>
      </c>
      <c r="D112" s="1" t="n">
        <f aca="false">IF($C$70="Facebook",IFERROR(INDEX(Facebook!$E:$E,MATCH($B112,Facebook!$A:$A,0)),""),IF($C$70="Instagram",IFERROR(INDEX(Instagram!$E:$E,MATCH($B112,Instagram!$A:$A,0)),""),IF($C$70="Website",IFERROR(INDEX(Website!$F:$F,MATCH($B112,Website!$A:$A,0)),""),IF($C$70="Airbnb",IFERROR(INDEX(Airbnb!$E:$E,MATCH($B112,Airbnb!$A:$A,0)),""),""))))</f>
        <v>5</v>
      </c>
    </row>
    <row r="113" customFormat="false" ht="15" hidden="false" customHeight="true" outlineLevel="0" collapsed="false">
      <c r="B113" s="18" t="n">
        <f aca="false">Facebook!A43</f>
        <v>45940</v>
      </c>
      <c r="C113" s="1" t="n">
        <f aca="false">IF($C$70="Facebook",IFERROR(INDEX(Facebook!$F:$F,MATCH($B113,Facebook!$A:$A,0)),""),IF($C$70="Instagram",IFERROR(INDEX(Instagram!$F:$F,MATCH($B113,Instagram!$A:$A,0)),""),IF($C$70="Website",IFERROR(INDEX(Website!$B:$B,MATCH($B113,Website!$A:$A,0)),""),IF($C$70="Airbnb",IFERROR(INDEX(Airbnb!$C:$C,MATCH($B113,Airbnb!$A:$A,0)),""),""))))</f>
        <v>12</v>
      </c>
      <c r="D113" s="1" t="n">
        <f aca="false">IF($C$70="Facebook",IFERROR(INDEX(Facebook!$E:$E,MATCH($B113,Facebook!$A:$A,0)),""),IF($C$70="Instagram",IFERROR(INDEX(Instagram!$E:$E,MATCH($B113,Instagram!$A:$A,0)),""),IF($C$70="Website",IFERROR(INDEX(Website!$F:$F,MATCH($B113,Website!$A:$A,0)),""),IF($C$70="Airbnb",IFERROR(INDEX(Airbnb!$E:$E,MATCH($B113,Airbnb!$A:$A,0)),""),""))))</f>
        <v>10</v>
      </c>
    </row>
    <row r="114" customFormat="false" ht="15" hidden="false" customHeight="true" outlineLevel="0" collapsed="false">
      <c r="B114" s="18" t="n">
        <f aca="false">Facebook!A44</f>
        <v>45947</v>
      </c>
      <c r="C114" s="1" t="n">
        <f aca="false">IF($C$70="Facebook",IFERROR(INDEX(Facebook!$F:$F,MATCH($B114,Facebook!$A:$A,0)),""),IF($C$70="Instagram",IFERROR(INDEX(Instagram!$F:$F,MATCH($B114,Instagram!$A:$A,0)),""),IF($C$70="Website",IFERROR(INDEX(Website!$B:$B,MATCH($B114,Website!$A:$A,0)),""),IF($C$70="Airbnb",IFERROR(INDEX(Airbnb!$C:$C,MATCH($B114,Airbnb!$A:$A,0)),""),""))))</f>
        <v>13</v>
      </c>
      <c r="D114" s="1" t="n">
        <f aca="false">IF($C$70="Facebook",IFERROR(INDEX(Facebook!$E:$E,MATCH($B114,Facebook!$A:$A,0)),""),IF($C$70="Instagram",IFERROR(INDEX(Instagram!$E:$E,MATCH($B114,Instagram!$A:$A,0)),""),IF($C$70="Website",IFERROR(INDEX(Website!$F:$F,MATCH($B114,Website!$A:$A,0)),""),IF($C$70="Airbnb",IFERROR(INDEX(Airbnb!$E:$E,MATCH($B114,Airbnb!$A:$A,0)),""),""))))</f>
        <v>12</v>
      </c>
    </row>
    <row r="115" customFormat="false" ht="15" hidden="false" customHeight="true" outlineLevel="0" collapsed="false">
      <c r="B115" s="18" t="n">
        <f aca="false">Facebook!A45</f>
        <v>45954</v>
      </c>
      <c r="C115" s="1" t="n">
        <f aca="false">IF($C$70="Facebook",IFERROR(INDEX(Facebook!$F:$F,MATCH($B115,Facebook!$A:$A,0)),""),IF($C$70="Instagram",IFERROR(INDEX(Instagram!$F:$F,MATCH($B115,Instagram!$A:$A,0)),""),IF($C$70="Website",IFERROR(INDEX(Website!$B:$B,MATCH($B115,Website!$A:$A,0)),""),IF($C$70="Airbnb",IFERROR(INDEX(Airbnb!$C:$C,MATCH($B115,Airbnb!$A:$A,0)),""),""))))</f>
        <v>100</v>
      </c>
      <c r="D115" s="1" t="n">
        <f aca="false">IF($C$70="Facebook",IFERROR(INDEX(Facebook!$E:$E,MATCH($B115,Facebook!$A:$A,0)),""),IF($C$70="Instagram",IFERROR(INDEX(Instagram!$E:$E,MATCH($B115,Instagram!$A:$A,0)),""),IF($C$70="Website",IFERROR(INDEX(Website!$F:$F,MATCH($B115,Website!$A:$A,0)),""),IF($C$70="Airbnb",IFERROR(INDEX(Airbnb!$E:$E,MATCH($B115,Airbnb!$A:$A,0)),""),""))))</f>
        <v>15</v>
      </c>
    </row>
    <row r="116" customFormat="false" ht="15" hidden="false" customHeight="true" outlineLevel="0" collapsed="false">
      <c r="B116" s="18" t="n">
        <f aca="false">Facebook!A46</f>
        <v>45961</v>
      </c>
      <c r="C116" s="1" t="n">
        <f aca="false">IF($C$70="Facebook",IFERROR(INDEX(Facebook!$F:$F,MATCH($B116,Facebook!$A:$A,0)),""),IF($C$70="Instagram",IFERROR(INDEX(Instagram!$F:$F,MATCH($B116,Instagram!$A:$A,0)),""),IF($C$70="Website",IFERROR(INDEX(Website!$B:$B,MATCH($B116,Website!$A:$A,0)),""),IF($C$70="Airbnb",IFERROR(INDEX(Airbnb!$C:$C,MATCH($B116,Airbnb!$A:$A,0)),""),""))))</f>
        <v>90</v>
      </c>
      <c r="D116" s="1" t="n">
        <f aca="false">IF($C$70="Facebook",IFERROR(INDEX(Facebook!$E:$E,MATCH($B116,Facebook!$A:$A,0)),""),IF($C$70="Instagram",IFERROR(INDEX(Instagram!$E:$E,MATCH($B116,Instagram!$A:$A,0)),""),IF($C$70="Website",IFERROR(INDEX(Website!$F:$F,MATCH($B116,Website!$A:$A,0)),""),IF($C$70="Airbnb",IFERROR(INDEX(Airbnb!$E:$E,MATCH($B116,Airbnb!$A:$A,0)),""),""))))</f>
        <v>13</v>
      </c>
    </row>
    <row r="117" customFormat="false" ht="15" hidden="false" customHeight="true" outlineLevel="0" collapsed="false">
      <c r="B117" s="18" t="n">
        <f aca="false">Facebook!A47</f>
        <v>45968</v>
      </c>
      <c r="C117" s="1" t="n">
        <f aca="false">IF($C$70="Facebook",IFERROR(INDEX(Facebook!$F:$F,MATCH($B117,Facebook!$A:$A,0)),""),IF($C$70="Instagram",IFERROR(INDEX(Instagram!$F:$F,MATCH($B117,Instagram!$A:$A,0)),""),IF($C$70="Website",IFERROR(INDEX(Website!$B:$B,MATCH($B117,Website!$A:$A,0)),""),IF($C$70="Airbnb",IFERROR(INDEX(Airbnb!$C:$C,MATCH($B117,Airbnb!$A:$A,0)),""),""))))</f>
        <v>200</v>
      </c>
      <c r="D117" s="1" t="n">
        <f aca="false">IF($C$70="Facebook",IFERROR(INDEX(Facebook!$E:$E,MATCH($B117,Facebook!$A:$A,0)),""),IF($C$70="Instagram",IFERROR(INDEX(Instagram!$E:$E,MATCH($B117,Instagram!$A:$A,0)),""),IF($C$70="Website",IFERROR(INDEX(Website!$F:$F,MATCH($B117,Website!$A:$A,0)),""),IF($C$70="Airbnb",IFERROR(INDEX(Airbnb!$E:$E,MATCH($B117,Airbnb!$A:$A,0)),""),""))))</f>
        <v>7</v>
      </c>
    </row>
    <row r="118" customFormat="false" ht="15" hidden="false" customHeight="true" outlineLevel="0" collapsed="false">
      <c r="B118" s="18" t="n">
        <f aca="false">Facebook!A48</f>
        <v>45975</v>
      </c>
      <c r="C118" s="1" t="n">
        <f aca="false">IF($C$70="Facebook",IFERROR(INDEX(Facebook!$F:$F,MATCH($B118,Facebook!$A:$A,0)),""),IF($C$70="Instagram",IFERROR(INDEX(Instagram!$F:$F,MATCH($B118,Instagram!$A:$A,0)),""),IF($C$70="Website",IFERROR(INDEX(Website!$B:$B,MATCH($B118,Website!$A:$A,0)),""),IF($C$70="Airbnb",IFERROR(INDEX(Airbnb!$C:$C,MATCH($B118,Airbnb!$A:$A,0)),""),""))))</f>
        <v>90</v>
      </c>
      <c r="D118" s="1" t="n">
        <f aca="false">IF($C$70="Facebook",IFERROR(INDEX(Facebook!$E:$E,MATCH($B118,Facebook!$A:$A,0)),""),IF($C$70="Instagram",IFERROR(INDEX(Instagram!$E:$E,MATCH($B118,Instagram!$A:$A,0)),""),IF($C$70="Website",IFERROR(INDEX(Website!$F:$F,MATCH($B118,Website!$A:$A,0)),""),IF($C$70="Airbnb",IFERROR(INDEX(Airbnb!$E:$E,MATCH($B118,Airbnb!$A:$A,0)),""),""))))</f>
        <v>4</v>
      </c>
    </row>
    <row r="119" customFormat="false" ht="15" hidden="false" customHeight="true" outlineLevel="0" collapsed="false">
      <c r="B119" s="18" t="n">
        <f aca="false">Facebook!A49</f>
        <v>45982</v>
      </c>
      <c r="C119" s="1" t="n">
        <f aca="false">IF($C$70="Facebook",IFERROR(INDEX(Facebook!$F:$F,MATCH($B119,Facebook!$A:$A,0)),""),IF($C$70="Instagram",IFERROR(INDEX(Instagram!$F:$F,MATCH($B119,Instagram!$A:$A,0)),""),IF($C$70="Website",IFERROR(INDEX(Website!$B:$B,MATCH($B119,Website!$A:$A,0)),""),IF($C$70="Airbnb",IFERROR(INDEX(Airbnb!$C:$C,MATCH($B119,Airbnb!$A:$A,0)),""),""))))</f>
        <v>70</v>
      </c>
      <c r="D119" s="1" t="n">
        <f aca="false">IF($C$70="Facebook",IFERROR(INDEX(Facebook!$E:$E,MATCH($B119,Facebook!$A:$A,0)),""),IF($C$70="Instagram",IFERROR(INDEX(Instagram!$E:$E,MATCH($B119,Instagram!$A:$A,0)),""),IF($C$70="Website",IFERROR(INDEX(Website!$F:$F,MATCH($B119,Website!$A:$A,0)),""),IF($C$70="Airbnb",IFERROR(INDEX(Airbnb!$E:$E,MATCH($B119,Airbnb!$A:$A,0)),""),""))))</f>
        <v>5</v>
      </c>
    </row>
    <row r="120" customFormat="false" ht="15" hidden="false" customHeight="true" outlineLevel="0" collapsed="false">
      <c r="B120" s="18" t="n">
        <f aca="false">Facebook!A50</f>
        <v>45989</v>
      </c>
      <c r="C120" s="1" t="n">
        <f aca="false">IF($C$70="Facebook",IFERROR(INDEX(Facebook!$F:$F,MATCH($B120,Facebook!$A:$A,0)),""),IF($C$70="Instagram",IFERROR(INDEX(Instagram!$F:$F,MATCH($B120,Instagram!$A:$A,0)),""),IF($C$70="Website",IFERROR(INDEX(Website!$B:$B,MATCH($B120,Website!$A:$A,0)),""),IF($C$70="Airbnb",IFERROR(INDEX(Airbnb!$C:$C,MATCH($B120,Airbnb!$A:$A,0)),""),""))))</f>
        <v>24</v>
      </c>
      <c r="D120" s="1" t="n">
        <f aca="false">IF($C$70="Facebook",IFERROR(INDEX(Facebook!$E:$E,MATCH($B120,Facebook!$A:$A,0)),""),IF($C$70="Instagram",IFERROR(INDEX(Instagram!$E:$E,MATCH($B120,Instagram!$A:$A,0)),""),IF($C$70="Website",IFERROR(INDEX(Website!$F:$F,MATCH($B120,Website!$A:$A,0)),""),IF($C$70="Airbnb",IFERROR(INDEX(Airbnb!$E:$E,MATCH($B120,Airbnb!$A:$A,0)),""),""))))</f>
        <v>7</v>
      </c>
    </row>
    <row r="121" customFormat="false" ht="15" hidden="false" customHeight="true" outlineLevel="0" collapsed="false">
      <c r="B121" s="18" t="n">
        <f aca="false">Facebook!A51</f>
        <v>45996</v>
      </c>
      <c r="C121" s="1" t="n">
        <f aca="false">IF($C$70="Facebook",IFERROR(INDEX(Facebook!$F:$F,MATCH($B121,Facebook!$A:$A,0)),""),IF($C$70="Instagram",IFERROR(INDEX(Instagram!$F:$F,MATCH($B121,Instagram!$A:$A,0)),""),IF($C$70="Website",IFERROR(INDEX(Website!$B:$B,MATCH($B121,Website!$A:$A,0)),""),IF($C$70="Airbnb",IFERROR(INDEX(Airbnb!$C:$C,MATCH($B121,Airbnb!$A:$A,0)),""),""))))</f>
        <v>40</v>
      </c>
      <c r="D121" s="1" t="n">
        <f aca="false">IF($C$70="Facebook",IFERROR(INDEX(Facebook!$E:$E,MATCH($B121,Facebook!$A:$A,0)),""),IF($C$70="Instagram",IFERROR(INDEX(Instagram!$E:$E,MATCH($B121,Instagram!$A:$A,0)),""),IF($C$70="Website",IFERROR(INDEX(Website!$F:$F,MATCH($B121,Website!$A:$A,0)),""),IF($C$70="Airbnb",IFERROR(INDEX(Airbnb!$E:$E,MATCH($B121,Airbnb!$A:$A,0)),""),""))))</f>
        <v>9</v>
      </c>
    </row>
    <row r="122" customFormat="false" ht="15" hidden="false" customHeight="true" outlineLevel="0" collapsed="false">
      <c r="B122" s="18" t="n">
        <f aca="false">Facebook!A52</f>
        <v>46003</v>
      </c>
      <c r="C122" s="1" t="n">
        <f aca="false">IF($C$70="Facebook",IFERROR(INDEX(Facebook!$F:$F,MATCH($B122,Facebook!$A:$A,0)),""),IF($C$70="Instagram",IFERROR(INDEX(Instagram!$F:$F,MATCH($B122,Instagram!$A:$A,0)),""),IF($C$70="Website",IFERROR(INDEX(Website!$B:$B,MATCH($B122,Website!$A:$A,0)),""),IF($C$70="Airbnb",IFERROR(INDEX(Airbnb!$C:$C,MATCH($B122,Airbnb!$A:$A,0)),""),""))))</f>
        <v>30</v>
      </c>
      <c r="D122" s="1" t="n">
        <f aca="false">IF($C$70="Facebook",IFERROR(INDEX(Facebook!$E:$E,MATCH($B122,Facebook!$A:$A,0)),""),IF($C$70="Instagram",IFERROR(INDEX(Instagram!$E:$E,MATCH($B122,Instagram!$A:$A,0)),""),IF($C$70="Website",IFERROR(INDEX(Website!$F:$F,MATCH($B122,Website!$A:$A,0)),""),IF($C$70="Airbnb",IFERROR(INDEX(Airbnb!$E:$E,MATCH($B122,Airbnb!$A:$A,0)),""),""))))</f>
        <v>1</v>
      </c>
    </row>
    <row r="123" customFormat="false" ht="15" hidden="false" customHeight="true" outlineLevel="0" collapsed="false">
      <c r="B123" s="18" t="n">
        <f aca="false">Facebook!A53</f>
        <v>46010</v>
      </c>
      <c r="C123" s="1" t="n">
        <f aca="false">IF($C$70="Facebook",IFERROR(INDEX(Facebook!$F:$F,MATCH($B123,Facebook!$A:$A,0)),""),IF($C$70="Instagram",IFERROR(INDEX(Instagram!$F:$F,MATCH($B123,Instagram!$A:$A,0)),""),IF($C$70="Website",IFERROR(INDEX(Website!$B:$B,MATCH($B123,Website!$A:$A,0)),""),IF($C$70="Airbnb",IFERROR(INDEX(Airbnb!$C:$C,MATCH($B123,Airbnb!$A:$A,0)),""),""))))</f>
        <v>40</v>
      </c>
      <c r="D123" s="1" t="n">
        <f aca="false">IF($C$70="Facebook",IFERROR(INDEX(Facebook!$E:$E,MATCH($B123,Facebook!$A:$A,0)),""),IF($C$70="Instagram",IFERROR(INDEX(Instagram!$E:$E,MATCH($B123,Instagram!$A:$A,0)),""),IF($C$70="Website",IFERROR(INDEX(Website!$F:$F,MATCH($B123,Website!$A:$A,0)),""),IF($C$70="Airbnb",IFERROR(INDEX(Airbnb!$E:$E,MATCH($B123,Airbnb!$A:$A,0)),""),""))))</f>
        <v>3</v>
      </c>
    </row>
    <row r="124" customFormat="false" ht="15" hidden="false" customHeight="true" outlineLevel="0" collapsed="false">
      <c r="B124" s="18" t="n">
        <f aca="false">Facebook!A54</f>
        <v>46017</v>
      </c>
      <c r="C124" s="1" t="n">
        <f aca="false">IF($C$70="Facebook",IFERROR(INDEX(Facebook!$F:$F,MATCH($B124,Facebook!$A:$A,0)),""),IF($C$70="Instagram",IFERROR(INDEX(Instagram!$F:$F,MATCH($B124,Instagram!$A:$A,0)),""),IF($C$70="Website",IFERROR(INDEX(Website!$B:$B,MATCH($B124,Website!$A:$A,0)),""),IF($C$70="Airbnb",IFERROR(INDEX(Airbnb!$C:$C,MATCH($B124,Airbnb!$A:$A,0)),""),""))))</f>
        <v>20</v>
      </c>
      <c r="D124" s="1" t="n">
        <f aca="false">IF($C$70="Facebook",IFERROR(INDEX(Facebook!$E:$E,MATCH($B124,Facebook!$A:$A,0)),""),IF($C$70="Instagram",IFERROR(INDEX(Instagram!$E:$E,MATCH($B124,Instagram!$A:$A,0)),""),IF($C$70="Website",IFERROR(INDEX(Website!$F:$F,MATCH($B124,Website!$A:$A,0)),""),IF($C$70="Airbnb",IFERROR(INDEX(Airbnb!$E:$E,MATCH($B124,Airbnb!$A:$A,0)),""),""))))</f>
        <v>4</v>
      </c>
    </row>
    <row r="125" customFormat="false" ht="15" hidden="false" customHeight="true" outlineLevel="0" collapsed="false">
      <c r="B125" s="18" t="n">
        <f aca="false">Facebook!A55</f>
        <v>46024</v>
      </c>
      <c r="C125" s="1" t="n">
        <f aca="false">IF($C$70="Facebook",IFERROR(INDEX(Facebook!$F:$F,MATCH($B125,Facebook!$A:$A,0)),""),IF($C$70="Instagram",IFERROR(INDEX(Instagram!$F:$F,MATCH($B125,Instagram!$A:$A,0)),""),IF($C$70="Website",IFERROR(INDEX(Website!$B:$B,MATCH($B125,Website!$A:$A,0)),""),IF($C$70="Airbnb",IFERROR(INDEX(Airbnb!$C:$C,MATCH($B125,Airbnb!$A:$A,0)),""),""))))</f>
        <v>25</v>
      </c>
      <c r="D125" s="1" t="n">
        <f aca="false">IF($C$70="Facebook",IFERROR(INDEX(Facebook!$E:$E,MATCH($B125,Facebook!$A:$A,0)),""),IF($C$70="Instagram",IFERROR(INDEX(Instagram!$E:$E,MATCH($B125,Instagram!$A:$A,0)),""),IF($C$70="Website",IFERROR(INDEX(Website!$F:$F,MATCH($B125,Website!$A:$A,0)),""),IF($C$70="Airbnb",IFERROR(INDEX(Airbnb!$E:$E,MATCH($B125,Airbnb!$A:$A,0)),""),""))))</f>
        <v>3</v>
      </c>
    </row>
    <row r="126" customFormat="false" ht="15" hidden="false" customHeight="true" outlineLevel="0" collapsed="false">
      <c r="B126" s="18" t="n">
        <f aca="false">Facebook!A56</f>
        <v>46031</v>
      </c>
      <c r="C126" s="1" t="n">
        <f aca="false">IF($C$70="Facebook",IFERROR(INDEX(Facebook!$F:$F,MATCH($B126,Facebook!$A:$A,0)),""),IF($C$70="Instagram",IFERROR(INDEX(Instagram!$F:$F,MATCH($B126,Instagram!$A:$A,0)),""),IF($C$70="Website",IFERROR(INDEX(Website!$B:$B,MATCH($B126,Website!$A:$A,0)),""),IF($C$70="Airbnb",IFERROR(INDEX(Airbnb!$C:$C,MATCH($B126,Airbnb!$A:$A,0)),""),""))))</f>
        <v>23</v>
      </c>
      <c r="D126" s="1" t="n">
        <f aca="false">IF($C$70="Facebook",IFERROR(INDEX(Facebook!$E:$E,MATCH($B126,Facebook!$A:$A,0)),""),IF($C$70="Instagram",IFERROR(INDEX(Instagram!$E:$E,MATCH($B126,Instagram!$A:$A,0)),""),IF($C$70="Website",IFERROR(INDEX(Website!$F:$F,MATCH($B126,Website!$A:$A,0)),""),IF($C$70="Airbnb",IFERROR(INDEX(Airbnb!$E:$E,MATCH($B126,Airbnb!$A:$A,0)),""),""))))</f>
        <v>2</v>
      </c>
    </row>
    <row r="127" customFormat="false" ht="15" hidden="false" customHeight="true" outlineLevel="0" collapsed="false">
      <c r="B127" s="18" t="n">
        <f aca="false">Facebook!A57</f>
        <v>46038</v>
      </c>
      <c r="C127" s="1" t="n">
        <f aca="false">IF($C$70="Facebook",IFERROR(INDEX(Facebook!$F:$F,MATCH($B127,Facebook!$A:$A,0)),""),IF($C$70="Instagram",IFERROR(INDEX(Instagram!$F:$F,MATCH($B127,Instagram!$A:$A,0)),""),IF($C$70="Website",IFERROR(INDEX(Website!$B:$B,MATCH($B127,Website!$A:$A,0)),""),IF($C$70="Airbnb",IFERROR(INDEX(Airbnb!$C:$C,MATCH($B127,Airbnb!$A:$A,0)),""),""))))</f>
        <v>30</v>
      </c>
      <c r="D127" s="1" t="n">
        <f aca="false">IF($C$70="Facebook",IFERROR(INDEX(Facebook!$E:$E,MATCH($B127,Facebook!$A:$A,0)),""),IF($C$70="Instagram",IFERROR(INDEX(Instagram!$E:$E,MATCH($B127,Instagram!$A:$A,0)),""),IF($C$70="Website",IFERROR(INDEX(Website!$F:$F,MATCH($B127,Website!$A:$A,0)),""),IF($C$70="Airbnb",IFERROR(INDEX(Airbnb!$E:$E,MATCH($B127,Airbnb!$A:$A,0)),""),""))))</f>
        <v>3</v>
      </c>
    </row>
    <row r="128" customFormat="false" ht="15" hidden="false" customHeight="true" outlineLevel="0" collapsed="false">
      <c r="B128" s="18" t="n">
        <f aca="false">Facebook!A58</f>
        <v>46045</v>
      </c>
      <c r="C128" s="1" t="n">
        <f aca="false">IF($C$70="Facebook",IFERROR(INDEX(Facebook!$F:$F,MATCH($B128,Facebook!$A:$A,0)),""),IF($C$70="Instagram",IFERROR(INDEX(Instagram!$F:$F,MATCH($B128,Instagram!$A:$A,0)),""),IF($C$70="Website",IFERROR(INDEX(Website!$B:$B,MATCH($B128,Website!$A:$A,0)),""),IF($C$70="Airbnb",IFERROR(INDEX(Airbnb!$C:$C,MATCH($B128,Airbnb!$A:$A,0)),""),""))))</f>
        <v>25</v>
      </c>
      <c r="D128" s="1" t="n">
        <f aca="false">IF($C$70="Facebook",IFERROR(INDEX(Facebook!$E:$E,MATCH($B128,Facebook!$A:$A,0)),""),IF($C$70="Instagram",IFERROR(INDEX(Instagram!$E:$E,MATCH($B128,Instagram!$A:$A,0)),""),IF($C$70="Website",IFERROR(INDEX(Website!$F:$F,MATCH($B128,Website!$A:$A,0)),""),IF($C$70="Airbnb",IFERROR(INDEX(Airbnb!$E:$E,MATCH($B128,Airbnb!$A:$A,0)),""),""))))</f>
        <v>5</v>
      </c>
    </row>
    <row r="129" customFormat="false" ht="15" hidden="false" customHeight="true" outlineLevel="0" collapsed="false">
      <c r="B129" s="18" t="n">
        <f aca="false">Facebook!A59</f>
        <v>46052</v>
      </c>
      <c r="C129" s="1" t="n">
        <f aca="false">IF($C$70="Facebook",IFERROR(INDEX(Facebook!$F:$F,MATCH($B129,Facebook!$A:$A,0)),""),IF($C$70="Instagram",IFERROR(INDEX(Instagram!$F:$F,MATCH($B129,Instagram!$A:$A,0)),""),IF($C$70="Website",IFERROR(INDEX(Website!$B:$B,MATCH($B129,Website!$A:$A,0)),""),IF($C$70="Airbnb",IFERROR(INDEX(Airbnb!$C:$C,MATCH($B129,Airbnb!$A:$A,0)),""),""))))</f>
        <v>20</v>
      </c>
      <c r="D129" s="1" t="n">
        <f aca="false">IF($C$70="Facebook",IFERROR(INDEX(Facebook!$E:$E,MATCH($B129,Facebook!$A:$A,0)),""),IF($C$70="Instagram",IFERROR(INDEX(Instagram!$E:$E,MATCH($B129,Instagram!$A:$A,0)),""),IF($C$70="Website",IFERROR(INDEX(Website!$F:$F,MATCH($B129,Website!$A:$A,0)),""),IF($C$70="Airbnb",IFERROR(INDEX(Airbnb!$E:$E,MATCH($B129,Airbnb!$A:$A,0)),""),""))))</f>
        <v>2</v>
      </c>
    </row>
    <row r="130" customFormat="false" ht="15" hidden="false" customHeight="true" outlineLevel="0" collapsed="false">
      <c r="B130" s="18" t="n">
        <f aca="false">Facebook!A60</f>
        <v>46059</v>
      </c>
      <c r="C130" s="1" t="n">
        <f aca="false">IF($C$70="Facebook",IFERROR(INDEX(Facebook!$F:$F,MATCH($B130,Facebook!$A:$A,0)),""),IF($C$70="Instagram",IFERROR(INDEX(Instagram!$F:$F,MATCH($B130,Instagram!$A:$A,0)),""),IF($C$70="Website",IFERROR(INDEX(Website!$B:$B,MATCH($B130,Website!$A:$A,0)),""),IF($C$70="Airbnb",IFERROR(INDEX(Airbnb!$C:$C,MATCH($B130,Airbnb!$A:$A,0)),""),""))))</f>
        <v>40</v>
      </c>
      <c r="D130" s="1" t="n">
        <f aca="false">IF($C$70="Facebook",IFERROR(INDEX(Facebook!$E:$E,MATCH($B130,Facebook!$A:$A,0)),""),IF($C$70="Instagram",IFERROR(INDEX(Instagram!$E:$E,MATCH($B130,Instagram!$A:$A,0)),""),IF($C$70="Website",IFERROR(INDEX(Website!$F:$F,MATCH($B130,Website!$A:$A,0)),""),IF($C$70="Airbnb",IFERROR(INDEX(Airbnb!$E:$E,MATCH($B130,Airbnb!$A:$A,0)),""),""))))</f>
        <v>6</v>
      </c>
    </row>
    <row r="131" customFormat="false" ht="15" hidden="false" customHeight="true" outlineLevel="0" collapsed="false">
      <c r="B131" s="18" t="n">
        <f aca="false">Facebook!A61</f>
        <v>46066</v>
      </c>
      <c r="C131" s="1" t="n">
        <f aca="false">IF($C$70="Facebook",IFERROR(INDEX(Facebook!$F:$F,MATCH($B131,Facebook!$A:$A,0)),""),IF($C$70="Instagram",IFERROR(INDEX(Instagram!$F:$F,MATCH($B131,Instagram!$A:$A,0)),""),IF($C$70="Website",IFERROR(INDEX(Website!$B:$B,MATCH($B131,Website!$A:$A,0)),""),IF($C$70="Airbnb",IFERROR(INDEX(Airbnb!$C:$C,MATCH($B131,Airbnb!$A:$A,0)),""),""))))</f>
        <v>34</v>
      </c>
      <c r="D131" s="1" t="n">
        <f aca="false">IF($C$70="Facebook",IFERROR(INDEX(Facebook!$E:$E,MATCH($B131,Facebook!$A:$A,0)),""),IF($C$70="Instagram",IFERROR(INDEX(Instagram!$E:$E,MATCH($B131,Instagram!$A:$A,0)),""),IF($C$70="Website",IFERROR(INDEX(Website!$F:$F,MATCH($B131,Website!$A:$A,0)),""),IF($C$70="Airbnb",IFERROR(INDEX(Airbnb!$E:$E,MATCH($B131,Airbnb!$A:$A,0)),""),""))))</f>
        <v>8</v>
      </c>
    </row>
    <row r="132" customFormat="false" ht="15" hidden="false" customHeight="true" outlineLevel="0" collapsed="false">
      <c r="B132" s="18" t="n">
        <f aca="false">Facebook!A62</f>
        <v>46073</v>
      </c>
      <c r="C132" s="1" t="n">
        <f aca="false">IF($C$70="Facebook",IFERROR(INDEX(Facebook!$F:$F,MATCH($B132,Facebook!$A:$A,0)),""),IF($C$70="Instagram",IFERROR(INDEX(Instagram!$F:$F,MATCH($B132,Instagram!$A:$A,0)),""),IF($C$70="Website",IFERROR(INDEX(Website!$B:$B,MATCH($B132,Website!$A:$A,0)),""),IF($C$70="Airbnb",IFERROR(INDEX(Airbnb!$C:$C,MATCH($B132,Airbnb!$A:$A,0)),""),""))))</f>
        <v>26</v>
      </c>
      <c r="D132" s="1" t="n">
        <f aca="false">IF($C$70="Facebook",IFERROR(INDEX(Facebook!$E:$E,MATCH($B132,Facebook!$A:$A,0)),""),IF($C$70="Instagram",IFERROR(INDEX(Instagram!$E:$E,MATCH($B132,Instagram!$A:$A,0)),""),IF($C$70="Website",IFERROR(INDEX(Website!$F:$F,MATCH($B132,Website!$A:$A,0)),""),IF($C$70="Airbnb",IFERROR(INDEX(Airbnb!$E:$E,MATCH($B132,Airbnb!$A:$A,0)),""),""))))</f>
        <v>9</v>
      </c>
    </row>
    <row r="133" customFormat="false" ht="15" hidden="false" customHeight="true" outlineLevel="0" collapsed="false">
      <c r="B133" s="18" t="n">
        <f aca="false">Facebook!A63</f>
        <v>46080</v>
      </c>
      <c r="C133" s="1" t="n">
        <f aca="false">IF($C$70="Facebook",IFERROR(INDEX(Facebook!$F:$F,MATCH($B133,Facebook!$A:$A,0)),""),IF($C$70="Instagram",IFERROR(INDEX(Instagram!$F:$F,MATCH($B133,Instagram!$A:$A,0)),""),IF($C$70="Website",IFERROR(INDEX(Website!$B:$B,MATCH($B133,Website!$A:$A,0)),""),IF($C$70="Airbnb",IFERROR(INDEX(Airbnb!$C:$C,MATCH($B133,Airbnb!$A:$A,0)),""),""))))</f>
        <v>23</v>
      </c>
      <c r="D133" s="1" t="n">
        <f aca="false">IF($C$70="Facebook",IFERROR(INDEX(Facebook!$E:$E,MATCH($B133,Facebook!$A:$A,0)),""),IF($C$70="Instagram",IFERROR(INDEX(Instagram!$E:$E,MATCH($B133,Instagram!$A:$A,0)),""),IF($C$70="Website",IFERROR(INDEX(Website!$F:$F,MATCH($B133,Website!$A:$A,0)),""),IF($C$70="Airbnb",IFERROR(INDEX(Airbnb!$E:$E,MATCH($B133,Airbnb!$A:$A,0)),""),""))))</f>
        <v>3</v>
      </c>
    </row>
    <row r="134" customFormat="false" ht="15" hidden="false" customHeight="true" outlineLevel="0" collapsed="false">
      <c r="B134" s="18" t="n">
        <f aca="false">Facebook!A64</f>
        <v>46087</v>
      </c>
      <c r="C134" s="1" t="n">
        <f aca="false">IF($C$70="Facebook",IFERROR(INDEX(Facebook!$F:$F,MATCH($B134,Facebook!$A:$A,0)),""),IF($C$70="Instagram",IFERROR(INDEX(Instagram!$F:$F,MATCH($B134,Instagram!$A:$A,0)),""),IF($C$70="Website",IFERROR(INDEX(Website!$B:$B,MATCH($B134,Website!$A:$A,0)),""),IF($C$70="Airbnb",IFERROR(INDEX(Airbnb!$C:$C,MATCH($B134,Airbnb!$A:$A,0)),""),""))))</f>
        <v>20</v>
      </c>
      <c r="D134" s="1" t="n">
        <f aca="false">IF($C$70="Facebook",IFERROR(INDEX(Facebook!$E:$E,MATCH($B134,Facebook!$A:$A,0)),""),IF($C$70="Instagram",IFERROR(INDEX(Instagram!$E:$E,MATCH($B134,Instagram!$A:$A,0)),""),IF($C$70="Website",IFERROR(INDEX(Website!$F:$F,MATCH($B134,Website!$A:$A,0)),""),IF($C$70="Airbnb",IFERROR(INDEX(Airbnb!$E:$E,MATCH($B134,Airbnb!$A:$A,0)),""),""))))</f>
        <v>8</v>
      </c>
    </row>
    <row r="135" customFormat="false" ht="15" hidden="false" customHeight="true" outlineLevel="0" collapsed="false">
      <c r="B135" s="18" t="n">
        <f aca="false">Facebook!A65</f>
        <v>46094</v>
      </c>
      <c r="C135" s="1" t="n">
        <f aca="false">IF($C$70="Facebook",IFERROR(INDEX(Facebook!$F:$F,MATCH($B135,Facebook!$A:$A,0)),""),IF($C$70="Instagram",IFERROR(INDEX(Instagram!$F:$F,MATCH($B135,Instagram!$A:$A,0)),""),IF($C$70="Website",IFERROR(INDEX(Website!$B:$B,MATCH($B135,Website!$A:$A,0)),""),IF($C$70="Airbnb",IFERROR(INDEX(Airbnb!$C:$C,MATCH($B135,Airbnb!$A:$A,0)),""),""))))</f>
        <v>15</v>
      </c>
      <c r="D135" s="1" t="n">
        <f aca="false">IF($C$70="Facebook",IFERROR(INDEX(Facebook!$E:$E,MATCH($B135,Facebook!$A:$A,0)),""),IF($C$70="Instagram",IFERROR(INDEX(Instagram!$E:$E,MATCH($B135,Instagram!$A:$A,0)),""),IF($C$70="Website",IFERROR(INDEX(Website!$F:$F,MATCH($B135,Website!$A:$A,0)),""),IF($C$70="Airbnb",IFERROR(INDEX(Airbnb!$E:$E,MATCH($B135,Airbnb!$A:$A,0)),""),""))))</f>
        <v>9</v>
      </c>
    </row>
    <row r="136" customFormat="false" ht="15" hidden="false" customHeight="true" outlineLevel="0" collapsed="false">
      <c r="B136" s="18" t="n">
        <f aca="false">Facebook!A66</f>
        <v>46101</v>
      </c>
      <c r="C136" s="1" t="n">
        <f aca="false">IF($C$70="Facebook",IFERROR(INDEX(Facebook!$F:$F,MATCH($B136,Facebook!$A:$A,0)),""),IF($C$70="Instagram",IFERROR(INDEX(Instagram!$F:$F,MATCH($B136,Instagram!$A:$A,0)),""),IF($C$70="Website",IFERROR(INDEX(Website!$B:$B,MATCH($B136,Website!$A:$A,0)),""),IF($C$70="Airbnb",IFERROR(INDEX(Airbnb!$C:$C,MATCH($B136,Airbnb!$A:$A,0)),""),""))))</f>
        <v>13</v>
      </c>
      <c r="D136" s="1" t="n">
        <f aca="false">IF($C$70="Facebook",IFERROR(INDEX(Facebook!$E:$E,MATCH($B136,Facebook!$A:$A,0)),""),IF($C$70="Instagram",IFERROR(INDEX(Instagram!$E:$E,MATCH($B136,Instagram!$A:$A,0)),""),IF($C$70="Website",IFERROR(INDEX(Website!$F:$F,MATCH($B136,Website!$A:$A,0)),""),IF($C$70="Airbnb",IFERROR(INDEX(Airbnb!$E:$E,MATCH($B136,Airbnb!$A:$A,0)),""),""))))</f>
        <v>12</v>
      </c>
    </row>
    <row r="137" customFormat="false" ht="15" hidden="false" customHeight="true" outlineLevel="0" collapsed="false">
      <c r="B137" s="18" t="n">
        <f aca="false">Facebook!A67</f>
        <v>46108</v>
      </c>
      <c r="C137" s="1" t="n">
        <f aca="false">IF($C$70="Facebook",IFERROR(INDEX(Facebook!$F:$F,MATCH($B137,Facebook!$A:$A,0)),""),IF($C$70="Instagram",IFERROR(INDEX(Instagram!$F:$F,MATCH($B137,Instagram!$A:$A,0)),""),IF($C$70="Website",IFERROR(INDEX(Website!$B:$B,MATCH($B137,Website!$A:$A,0)),""),IF($C$70="Airbnb",IFERROR(INDEX(Airbnb!$C:$C,MATCH($B137,Airbnb!$A:$A,0)),""),""))))</f>
        <v>14</v>
      </c>
      <c r="D137" s="1" t="n">
        <f aca="false">IF($C$70="Facebook",IFERROR(INDEX(Facebook!$E:$E,MATCH($B137,Facebook!$A:$A,0)),""),IF($C$70="Instagram",IFERROR(INDEX(Instagram!$E:$E,MATCH($B137,Instagram!$A:$A,0)),""),IF($C$70="Website",IFERROR(INDEX(Website!$F:$F,MATCH($B137,Website!$A:$A,0)),""),IF($C$70="Airbnb",IFERROR(INDEX(Airbnb!$E:$E,MATCH($B137,Airbnb!$A:$A,0)),""),""))))</f>
        <v>14</v>
      </c>
    </row>
    <row r="138" customFormat="false" ht="15" hidden="false" customHeight="true" outlineLevel="0" collapsed="false">
      <c r="B138" s="18" t="n">
        <f aca="false">Facebook!A68</f>
        <v>46115</v>
      </c>
      <c r="C138" s="1" t="n">
        <f aca="false">IF($C$70="Facebook",IFERROR(INDEX(Facebook!$F:$F,MATCH($B138,Facebook!$A:$A,0)),""),IF($C$70="Instagram",IFERROR(INDEX(Instagram!$F:$F,MATCH($B138,Instagram!$A:$A,0)),""),IF($C$70="Website",IFERROR(INDEX(Website!$B:$B,MATCH($B138,Website!$A:$A,0)),""),IF($C$70="Airbnb",IFERROR(INDEX(Airbnb!$C:$C,MATCH($B138,Airbnb!$A:$A,0)),""),""))))</f>
        <v>12</v>
      </c>
      <c r="D138" s="1" t="n">
        <f aca="false">IF($C$70="Facebook",IFERROR(INDEX(Facebook!$E:$E,MATCH($B138,Facebook!$A:$A,0)),""),IF($C$70="Instagram",IFERROR(INDEX(Instagram!$E:$E,MATCH($B138,Instagram!$A:$A,0)),""),IF($C$70="Website",IFERROR(INDEX(Website!$F:$F,MATCH($B138,Website!$A:$A,0)),""),IF($C$70="Airbnb",IFERROR(INDEX(Airbnb!$E:$E,MATCH($B138,Airbnb!$A:$A,0)),""),""))))</f>
        <v>11</v>
      </c>
    </row>
    <row r="139" customFormat="false" ht="15" hidden="false" customHeight="true" outlineLevel="0" collapsed="false">
      <c r="B139" s="18" t="n">
        <f aca="false">Facebook!A69</f>
        <v>46122</v>
      </c>
      <c r="C139" s="1" t="n">
        <f aca="false">IF($C$70="Facebook",IFERROR(INDEX(Facebook!$F:$F,MATCH($B139,Facebook!$A:$A,0)),""),IF($C$70="Instagram",IFERROR(INDEX(Instagram!$F:$F,MATCH($B139,Instagram!$A:$A,0)),""),IF($C$70="Website",IFERROR(INDEX(Website!$B:$B,MATCH($B139,Website!$A:$A,0)),""),IF($C$70="Airbnb",IFERROR(INDEX(Airbnb!$C:$C,MATCH($B139,Airbnb!$A:$A,0)),""),""))))</f>
        <v>17</v>
      </c>
      <c r="D139" s="1" t="n">
        <f aca="false">IF($C$70="Facebook",IFERROR(INDEX(Facebook!$E:$E,MATCH($B139,Facebook!$A:$A,0)),""),IF($C$70="Instagram",IFERROR(INDEX(Instagram!$E:$E,MATCH($B139,Instagram!$A:$A,0)),""),IF($C$70="Website",IFERROR(INDEX(Website!$F:$F,MATCH($B139,Website!$A:$A,0)),""),IF($C$70="Airbnb",IFERROR(INDEX(Airbnb!$E:$E,MATCH($B139,Airbnb!$A:$A,0)),""),""))))</f>
        <v>5</v>
      </c>
    </row>
    <row r="140" customFormat="false" ht="15" hidden="false" customHeight="true" outlineLevel="0" collapsed="false">
      <c r="B140" s="18" t="n">
        <f aca="false">Facebook!A70</f>
        <v>46129</v>
      </c>
      <c r="C140" s="1" t="n">
        <f aca="false">IF($C$70="Facebook",IFERROR(INDEX(Facebook!$F:$F,MATCH($B140,Facebook!$A:$A,0)),""),IF($C$70="Instagram",IFERROR(INDEX(Instagram!$F:$F,MATCH($B140,Instagram!$A:$A,0)),""),IF($C$70="Website",IFERROR(INDEX(Website!$B:$B,MATCH($B140,Website!$A:$A,0)),""),IF($C$70="Airbnb",IFERROR(INDEX(Airbnb!$C:$C,MATCH($B140,Airbnb!$A:$A,0)),""),""))))</f>
        <v>40</v>
      </c>
      <c r="D140" s="1" t="n">
        <f aca="false">IF($C$70="Facebook",IFERROR(INDEX(Facebook!$E:$E,MATCH($B140,Facebook!$A:$A,0)),""),IF($C$70="Instagram",IFERROR(INDEX(Instagram!$E:$E,MATCH($B140,Instagram!$A:$A,0)),""),IF($C$70="Website",IFERROR(INDEX(Website!$F:$F,MATCH($B140,Website!$A:$A,0)),""),IF($C$70="Airbnb",IFERROR(INDEX(Airbnb!$E:$E,MATCH($B140,Airbnb!$A:$A,0)),""),""))))</f>
        <v>3</v>
      </c>
    </row>
    <row r="141" customFormat="false" ht="15" hidden="false" customHeight="true" outlineLevel="0" collapsed="false">
      <c r="B141" s="18" t="n">
        <f aca="false">Facebook!A71</f>
        <v>46136</v>
      </c>
      <c r="C141" s="1" t="n">
        <f aca="false">IF($C$70="Facebook",IFERROR(INDEX(Facebook!$F:$F,MATCH($B141,Facebook!$A:$A,0)),""),IF($C$70="Instagram",IFERROR(INDEX(Instagram!$F:$F,MATCH($B141,Instagram!$A:$A,0)),""),IF($C$70="Website",IFERROR(INDEX(Website!$B:$B,MATCH($B141,Website!$A:$A,0)),""),IF($C$70="Airbnb",IFERROR(INDEX(Airbnb!$C:$C,MATCH($B141,Airbnb!$A:$A,0)),""),""))))</f>
        <v>35</v>
      </c>
      <c r="D141" s="1" t="n">
        <f aca="false">IF($C$70="Facebook",IFERROR(INDEX(Facebook!$E:$E,MATCH($B141,Facebook!$A:$A,0)),""),IF($C$70="Instagram",IFERROR(INDEX(Instagram!$E:$E,MATCH($B141,Instagram!$A:$A,0)),""),IF($C$70="Website",IFERROR(INDEX(Website!$F:$F,MATCH($B141,Website!$A:$A,0)),""),IF($C$70="Airbnb",IFERROR(INDEX(Airbnb!$E:$E,MATCH($B141,Airbnb!$A:$A,0)),""),""))))</f>
        <v>4</v>
      </c>
    </row>
    <row r="142" customFormat="false" ht="15" hidden="false" customHeight="true" outlineLevel="0" collapsed="false">
      <c r="B142" s="18" t="n">
        <f aca="false">Facebook!A72</f>
        <v>46143</v>
      </c>
      <c r="C142" s="1" t="n">
        <f aca="false">IF($C$70="Facebook",IFERROR(INDEX(Facebook!$F:$F,MATCH($B142,Facebook!$A:$A,0)),""),IF($C$70="Instagram",IFERROR(INDEX(Instagram!$F:$F,MATCH($B142,Instagram!$A:$A,0)),""),IF($C$70="Website",IFERROR(INDEX(Website!$B:$B,MATCH($B142,Website!$A:$A,0)),""),IF($C$70="Airbnb",IFERROR(INDEX(Airbnb!$C:$C,MATCH($B142,Airbnb!$A:$A,0)),""),""))))</f>
        <v>45</v>
      </c>
      <c r="D142" s="1" t="n">
        <f aca="false">IF($C$70="Facebook",IFERROR(INDEX(Facebook!$E:$E,MATCH($B142,Facebook!$A:$A,0)),""),IF($C$70="Instagram",IFERROR(INDEX(Instagram!$E:$E,MATCH($B142,Instagram!$A:$A,0)),""),IF($C$70="Website",IFERROR(INDEX(Website!$F:$F,MATCH($B142,Website!$A:$A,0)),""),IF($C$70="Airbnb",IFERROR(INDEX(Airbnb!$E:$E,MATCH($B142,Airbnb!$A:$A,0)),""),""))))</f>
        <v>2</v>
      </c>
    </row>
    <row r="143" customFormat="false" ht="15" hidden="false" customHeight="true" outlineLevel="0" collapsed="false">
      <c r="B143" s="18" t="n">
        <f aca="false">Facebook!A73</f>
        <v>46150</v>
      </c>
      <c r="C143" s="1" t="n">
        <f aca="false">IF($C$70="Facebook",IFERROR(INDEX(Facebook!$F:$F,MATCH($B143,Facebook!$A:$A,0)),""),IF($C$70="Instagram",IFERROR(INDEX(Instagram!$F:$F,MATCH($B143,Instagram!$A:$A,0)),""),IF($C$70="Website",IFERROR(INDEX(Website!$B:$B,MATCH($B143,Website!$A:$A,0)),""),IF($C$70="Airbnb",IFERROR(INDEX(Airbnb!$C:$C,MATCH($B143,Airbnb!$A:$A,0)),""),""))))</f>
        <v>34</v>
      </c>
      <c r="D143" s="1" t="n">
        <f aca="false">IF($C$70="Facebook",IFERROR(INDEX(Facebook!$E:$E,MATCH($B143,Facebook!$A:$A,0)),""),IF($C$70="Instagram",IFERROR(INDEX(Instagram!$E:$E,MATCH($B143,Instagram!$A:$A,0)),""),IF($C$70="Website",IFERROR(INDEX(Website!$F:$F,MATCH($B143,Website!$A:$A,0)),""),IF($C$70="Airbnb",IFERROR(INDEX(Airbnb!$E:$E,MATCH($B143,Airbnb!$A:$A,0)),""),""))))</f>
        <v>2</v>
      </c>
    </row>
    <row r="144" customFormat="false" ht="15" hidden="false" customHeight="true" outlineLevel="0" collapsed="false">
      <c r="B144" s="18" t="n">
        <f aca="false">Facebook!A74</f>
        <v>46157</v>
      </c>
      <c r="C144" s="1" t="n">
        <f aca="false">IF($C$70="Facebook",IFERROR(INDEX(Facebook!$F:$F,MATCH($B144,Facebook!$A:$A,0)),""),IF($C$70="Instagram",IFERROR(INDEX(Instagram!$F:$F,MATCH($B144,Instagram!$A:$A,0)),""),IF($C$70="Website",IFERROR(INDEX(Website!$B:$B,MATCH($B144,Website!$A:$A,0)),""),IF($C$70="Airbnb",IFERROR(INDEX(Airbnb!$C:$C,MATCH($B144,Airbnb!$A:$A,0)),""),""))))</f>
        <v>23</v>
      </c>
      <c r="D144" s="1" t="n">
        <f aca="false">IF($C$70="Facebook",IFERROR(INDEX(Facebook!$E:$E,MATCH($B144,Facebook!$A:$A,0)),""),IF($C$70="Instagram",IFERROR(INDEX(Instagram!$E:$E,MATCH($B144,Instagram!$A:$A,0)),""),IF($C$70="Website",IFERROR(INDEX(Website!$F:$F,MATCH($B144,Website!$A:$A,0)),""),IF($C$70="Airbnb",IFERROR(INDEX(Airbnb!$E:$E,MATCH($B144,Airbnb!$A:$A,0)),""),""))))</f>
        <v>3</v>
      </c>
    </row>
    <row r="145" customFormat="false" ht="15" hidden="false" customHeight="true" outlineLevel="0" collapsed="false">
      <c r="B145" s="18" t="n">
        <f aca="false">Facebook!A75</f>
        <v>46164</v>
      </c>
      <c r="C145" s="1" t="n">
        <f aca="false">IF($C$70="Facebook",IFERROR(INDEX(Facebook!$F:$F,MATCH($B145,Facebook!$A:$A,0)),""),IF($C$70="Instagram",IFERROR(INDEX(Instagram!$F:$F,MATCH($B145,Instagram!$A:$A,0)),""),IF($C$70="Website",IFERROR(INDEX(Website!$B:$B,MATCH($B145,Website!$A:$A,0)),""),IF($C$70="Airbnb",IFERROR(INDEX(Airbnb!$C:$C,MATCH($B145,Airbnb!$A:$A,0)),""),""))))</f>
        <v>27</v>
      </c>
      <c r="D145" s="1" t="n">
        <f aca="false">IF($C$70="Facebook",IFERROR(INDEX(Facebook!$E:$E,MATCH($B145,Facebook!$A:$A,0)),""),IF($C$70="Instagram",IFERROR(INDEX(Instagram!$E:$E,MATCH($B145,Instagram!$A:$A,0)),""),IF($C$70="Website",IFERROR(INDEX(Website!$F:$F,MATCH($B145,Website!$A:$A,0)),""),IF($C$70="Airbnb",IFERROR(INDEX(Airbnb!$E:$E,MATCH($B145,Airbnb!$A:$A,0)),""),""))))</f>
        <v>2</v>
      </c>
    </row>
    <row r="146" customFormat="false" ht="15" hidden="false" customHeight="true" outlineLevel="0" collapsed="false">
      <c r="B146" s="18" t="n">
        <f aca="false">Facebook!A76</f>
        <v>46171</v>
      </c>
      <c r="C146" s="1" t="n">
        <f aca="false">IF($C$70="Facebook",IFERROR(INDEX(Facebook!$F:$F,MATCH($B146,Facebook!$A:$A,0)),""),IF($C$70="Instagram",IFERROR(INDEX(Instagram!$F:$F,MATCH($B146,Instagram!$A:$A,0)),""),IF($C$70="Website",IFERROR(INDEX(Website!$B:$B,MATCH($B146,Website!$A:$A,0)),""),IF($C$70="Airbnb",IFERROR(INDEX(Airbnb!$C:$C,MATCH($B146,Airbnb!$A:$A,0)),""),""))))</f>
        <v>18</v>
      </c>
      <c r="D146" s="1" t="n">
        <f aca="false">IF($C$70="Facebook",IFERROR(INDEX(Facebook!$E:$E,MATCH($B146,Facebook!$A:$A,0)),""),IF($C$70="Instagram",IFERROR(INDEX(Instagram!$E:$E,MATCH($B146,Instagram!$A:$A,0)),""),IF($C$70="Website",IFERROR(INDEX(Website!$F:$F,MATCH($B146,Website!$A:$A,0)),""),IF($C$70="Airbnb",IFERROR(INDEX(Airbnb!$E:$E,MATCH($B146,Airbnb!$A:$A,0)),""),""))))</f>
        <v>2</v>
      </c>
    </row>
    <row r="147" customFormat="false" ht="15" hidden="false" customHeight="true" outlineLevel="0" collapsed="false">
      <c r="B147" s="18" t="n">
        <f aca="false">Facebook!A77</f>
        <v>46178</v>
      </c>
      <c r="C147" s="1" t="n">
        <f aca="false">IF($C$70="Facebook",IFERROR(INDEX(Facebook!$F:$F,MATCH($B147,Facebook!$A:$A,0)),""),IF($C$70="Instagram",IFERROR(INDEX(Instagram!$F:$F,MATCH($B147,Instagram!$A:$A,0)),""),IF($C$70="Website",IFERROR(INDEX(Website!$B:$B,MATCH($B147,Website!$A:$A,0)),""),IF($C$70="Airbnb",IFERROR(INDEX(Airbnb!$C:$C,MATCH($B147,Airbnb!$A:$A,0)),""),""))))</f>
        <v>21</v>
      </c>
      <c r="D147" s="1" t="n">
        <f aca="false">IF($C$70="Facebook",IFERROR(INDEX(Facebook!$E:$E,MATCH($B147,Facebook!$A:$A,0)),""),IF($C$70="Instagram",IFERROR(INDEX(Instagram!$E:$E,MATCH($B147,Instagram!$A:$A,0)),""),IF($C$70="Website",IFERROR(INDEX(Website!$F:$F,MATCH($B147,Website!$A:$A,0)),""),IF($C$70="Airbnb",IFERROR(INDEX(Airbnb!$E:$E,MATCH($B147,Airbnb!$A:$A,0)),""),""))))</f>
        <v>12</v>
      </c>
    </row>
    <row r="148" customFormat="false" ht="15" hidden="false" customHeight="true" outlineLevel="0" collapsed="false">
      <c r="B148" s="18" t="n">
        <f aca="false">Facebook!A78</f>
        <v>46185</v>
      </c>
      <c r="C148" s="1" t="n">
        <f aca="false">IF($C$70="Facebook",IFERROR(INDEX(Facebook!$F:$F,MATCH($B148,Facebook!$A:$A,0)),""),IF($C$70="Instagram",IFERROR(INDEX(Instagram!$F:$F,MATCH($B148,Instagram!$A:$A,0)),""),IF($C$70="Website",IFERROR(INDEX(Website!$B:$B,MATCH($B148,Website!$A:$A,0)),""),IF($C$70="Airbnb",IFERROR(INDEX(Airbnb!$C:$C,MATCH($B148,Airbnb!$A:$A,0)),""),""))))</f>
        <v>50</v>
      </c>
      <c r="D148" s="1" t="n">
        <f aca="false">IF($C$70="Facebook",IFERROR(INDEX(Facebook!$E:$E,MATCH($B148,Facebook!$A:$A,0)),""),IF($C$70="Instagram",IFERROR(INDEX(Instagram!$E:$E,MATCH($B148,Instagram!$A:$A,0)),""),IF($C$70="Website",IFERROR(INDEX(Website!$F:$F,MATCH($B148,Website!$A:$A,0)),""),IF($C$70="Airbnb",IFERROR(INDEX(Airbnb!$E:$E,MATCH($B148,Airbnb!$A:$A,0)),""),""))))</f>
        <v>23</v>
      </c>
    </row>
    <row r="149" customFormat="false" ht="15" hidden="false" customHeight="true" outlineLevel="0" collapsed="false">
      <c r="B149" s="18" t="n">
        <f aca="false">Facebook!A79</f>
        <v>46192</v>
      </c>
      <c r="C149" s="1" t="n">
        <f aca="false">IF($C$70="Facebook",IFERROR(INDEX(Facebook!$F:$F,MATCH($B149,Facebook!$A:$A,0)),""),IF($C$70="Instagram",IFERROR(INDEX(Instagram!$F:$F,MATCH($B149,Instagram!$A:$A,0)),""),IF($C$70="Website",IFERROR(INDEX(Website!$B:$B,MATCH($B149,Website!$A:$A,0)),""),IF($C$70="Airbnb",IFERROR(INDEX(Airbnb!$C:$C,MATCH($B149,Airbnb!$A:$A,0)),""),""))))</f>
        <v>13</v>
      </c>
      <c r="D149" s="1" t="n">
        <f aca="false">IF($C$70="Facebook",IFERROR(INDEX(Facebook!$E:$E,MATCH($B149,Facebook!$A:$A,0)),""),IF($C$70="Instagram",IFERROR(INDEX(Instagram!$E:$E,MATCH($B149,Instagram!$A:$A,0)),""),IF($C$70="Website",IFERROR(INDEX(Website!$F:$F,MATCH($B149,Website!$A:$A,0)),""),IF($C$70="Airbnb",IFERROR(INDEX(Airbnb!$E:$E,MATCH($B149,Airbnb!$A:$A,0)),""),""))))</f>
        <v>12</v>
      </c>
    </row>
    <row r="150" customFormat="false" ht="15" hidden="false" customHeight="true" outlineLevel="0" collapsed="false">
      <c r="B150" s="18" t="n">
        <f aca="false">Facebook!A80</f>
        <v>46199</v>
      </c>
      <c r="C150" s="1" t="n">
        <f aca="false">IF($C$70="Facebook",IFERROR(INDEX(Facebook!$F:$F,MATCH($B150,Facebook!$A:$A,0)),""),IF($C$70="Instagram",IFERROR(INDEX(Instagram!$F:$F,MATCH($B150,Instagram!$A:$A,0)),""),IF($C$70="Website",IFERROR(INDEX(Website!$B:$B,MATCH($B150,Website!$A:$A,0)),""),IF($C$70="Airbnb",IFERROR(INDEX(Airbnb!$C:$C,MATCH($B150,Airbnb!$A:$A,0)),""),""))))</f>
        <v>20</v>
      </c>
      <c r="D150" s="1" t="n">
        <f aca="false">IF($C$70="Facebook",IFERROR(INDEX(Facebook!$E:$E,MATCH($B150,Facebook!$A:$A,0)),""),IF($C$70="Instagram",IFERROR(INDEX(Instagram!$E:$E,MATCH($B150,Instagram!$A:$A,0)),""),IF($C$70="Website",IFERROR(INDEX(Website!$F:$F,MATCH($B150,Website!$A:$A,0)),""),IF($C$70="Airbnb",IFERROR(INDEX(Airbnb!$E:$E,MATCH($B150,Airbnb!$A:$A,0)),""),""))))</f>
        <v>10</v>
      </c>
    </row>
    <row r="151" customFormat="false" ht="15" hidden="false" customHeight="true" outlineLevel="0" collapsed="false">
      <c r="B151" s="18" t="n">
        <f aca="false">Facebook!A81</f>
        <v>46206</v>
      </c>
      <c r="C151" s="1" t="n">
        <f aca="false">IF($C$70="Facebook",IFERROR(INDEX(Facebook!$F:$F,MATCH($B151,Facebook!$A:$A,0)),""),IF($C$70="Instagram",IFERROR(INDEX(Instagram!$F:$F,MATCH($B151,Instagram!$A:$A,0)),""),IF($C$70="Website",IFERROR(INDEX(Website!$B:$B,MATCH($B151,Website!$A:$A,0)),""),IF($C$70="Airbnb",IFERROR(INDEX(Airbnb!$C:$C,MATCH($B151,Airbnb!$A:$A,0)),""),""))))</f>
        <v>21</v>
      </c>
      <c r="D151" s="1" t="n">
        <f aca="false">IF($C$70="Facebook",IFERROR(INDEX(Facebook!$E:$E,MATCH($B151,Facebook!$A:$A,0)),""),IF($C$70="Instagram",IFERROR(INDEX(Instagram!$E:$E,MATCH($B151,Instagram!$A:$A,0)),""),IF($C$70="Website",IFERROR(INDEX(Website!$F:$F,MATCH($B151,Website!$A:$A,0)),""),IF($C$70="Airbnb",IFERROR(INDEX(Airbnb!$E:$E,MATCH($B151,Airbnb!$A:$A,0)),""),""))))</f>
        <v>13</v>
      </c>
    </row>
    <row r="152" customFormat="false" ht="15" hidden="false" customHeight="true" outlineLevel="0" collapsed="false">
      <c r="B152" s="18" t="n">
        <f aca="false">Facebook!A82</f>
        <v>46213</v>
      </c>
      <c r="C152" s="1" t="n">
        <f aca="false">IF($C$70="Facebook",IFERROR(INDEX(Facebook!$F:$F,MATCH($B152,Facebook!$A:$A,0)),""),IF($C$70="Instagram",IFERROR(INDEX(Instagram!$F:$F,MATCH($B152,Instagram!$A:$A,0)),""),IF($C$70="Website",IFERROR(INDEX(Website!$B:$B,MATCH($B152,Website!$A:$A,0)),""),IF($C$70="Airbnb",IFERROR(INDEX(Airbnb!$C:$C,MATCH($B152,Airbnb!$A:$A,0)),""),""))))</f>
        <v>14</v>
      </c>
      <c r="D152" s="1" t="n">
        <f aca="false">IF($C$70="Facebook",IFERROR(INDEX(Facebook!$E:$E,MATCH($B152,Facebook!$A:$A,0)),""),IF($C$70="Instagram",IFERROR(INDEX(Instagram!$E:$E,MATCH($B152,Instagram!$A:$A,0)),""),IF($C$70="Website",IFERROR(INDEX(Website!$F:$F,MATCH($B152,Website!$A:$A,0)),""),IF($C$70="Airbnb",IFERROR(INDEX(Airbnb!$E:$E,MATCH($B152,Airbnb!$A:$A,0)),""),""))))</f>
        <v>11</v>
      </c>
    </row>
    <row r="153" customFormat="false" ht="15" hidden="false" customHeight="true" outlineLevel="0" collapsed="false">
      <c r="B153" s="18" t="n">
        <f aca="false">Facebook!A83</f>
        <v>46220</v>
      </c>
      <c r="C153" s="1" t="n">
        <f aca="false">IF($C$70="Facebook",IFERROR(INDEX(Facebook!$F:$F,MATCH($B153,Facebook!$A:$A,0)),""),IF($C$70="Instagram",IFERROR(INDEX(Instagram!$F:$F,MATCH($B153,Instagram!$A:$A,0)),""),IF($C$70="Website",IFERROR(INDEX(Website!$B:$B,MATCH($B153,Website!$A:$A,0)),""),IF($C$70="Airbnb",IFERROR(INDEX(Airbnb!$C:$C,MATCH($B153,Airbnb!$A:$A,0)),""),""))))</f>
        <v>0</v>
      </c>
      <c r="D153" s="1" t="n">
        <f aca="false">IF($C$70="Facebook",IFERROR(INDEX(Facebook!$E:$E,MATCH($B153,Facebook!$A:$A,0)),""),IF($C$70="Instagram",IFERROR(INDEX(Instagram!$E:$E,MATCH($B153,Instagram!$A:$A,0)),""),IF($C$70="Website",IFERROR(INDEX(Website!$F:$F,MATCH($B153,Website!$A:$A,0)),""),IF($C$70="Airbnb",IFERROR(INDEX(Airbnb!$E:$E,MATCH($B153,Airbnb!$A:$A,0)),""),""))))</f>
        <v>0</v>
      </c>
    </row>
    <row r="154" customFormat="false" ht="15" hidden="false" customHeight="true" outlineLevel="0" collapsed="false">
      <c r="B154" s="18" t="n">
        <f aca="false">Facebook!A84</f>
        <v>46227</v>
      </c>
      <c r="C154" s="1" t="n">
        <f aca="false">IF($C$70="Facebook",IFERROR(INDEX(Facebook!$F:$F,MATCH($B154,Facebook!$A:$A,0)),""),IF($C$70="Instagram",IFERROR(INDEX(Instagram!$F:$F,MATCH($B154,Instagram!$A:$A,0)),""),IF($C$70="Website",IFERROR(INDEX(Website!$B:$B,MATCH($B154,Website!$A:$A,0)),""),IF($C$70="Airbnb",IFERROR(INDEX(Airbnb!$C:$C,MATCH($B154,Airbnb!$A:$A,0)),""),""))))</f>
        <v>0</v>
      </c>
      <c r="D154" s="1" t="n">
        <f aca="false">IF($C$70="Facebook",IFERROR(INDEX(Facebook!$E:$E,MATCH($B154,Facebook!$A:$A,0)),""),IF($C$70="Instagram",IFERROR(INDEX(Instagram!$E:$E,MATCH($B154,Instagram!$A:$A,0)),""),IF($C$70="Website",IFERROR(INDEX(Website!$F:$F,MATCH($B154,Website!$A:$A,0)),""),IF($C$70="Airbnb",IFERROR(INDEX(Airbnb!$E:$E,MATCH($B154,Airbnb!$A:$A,0)),""),""))))</f>
        <v>0</v>
      </c>
    </row>
    <row r="155" customFormat="false" ht="15" hidden="false" customHeight="true" outlineLevel="0" collapsed="false">
      <c r="B155" s="18" t="n">
        <f aca="false">Facebook!A85</f>
        <v>46234</v>
      </c>
      <c r="C155" s="1" t="n">
        <f aca="false">IF($C$70="Facebook",IFERROR(INDEX(Facebook!$F:$F,MATCH($B155,Facebook!$A:$A,0)),""),IF($C$70="Instagram",IFERROR(INDEX(Instagram!$F:$F,MATCH($B155,Instagram!$A:$A,0)),""),IF($C$70="Website",IFERROR(INDEX(Website!$B:$B,MATCH($B155,Website!$A:$A,0)),""),IF($C$70="Airbnb",IFERROR(INDEX(Airbnb!$C:$C,MATCH($B155,Airbnb!$A:$A,0)),""),""))))</f>
        <v>0</v>
      </c>
      <c r="D155" s="1" t="n">
        <f aca="false">IF($C$70="Facebook",IFERROR(INDEX(Facebook!$E:$E,MATCH($B155,Facebook!$A:$A,0)),""),IF($C$70="Instagram",IFERROR(INDEX(Instagram!$E:$E,MATCH($B155,Instagram!$A:$A,0)),""),IF($C$70="Website",IFERROR(INDEX(Website!$F:$F,MATCH($B155,Website!$A:$A,0)),""),IF($C$70="Airbnb",IFERROR(INDEX(Airbnb!$E:$E,MATCH($B155,Airbnb!$A:$A,0)),""),""))))</f>
        <v>0</v>
      </c>
    </row>
    <row r="156" customFormat="false" ht="15" hidden="false" customHeight="true" outlineLevel="0" collapsed="false">
      <c r="B156" s="18" t="n">
        <f aca="false">Facebook!A86</f>
        <v>46241</v>
      </c>
      <c r="C156" s="1" t="n">
        <f aca="false">IF($C$70="Facebook",IFERROR(INDEX(Facebook!$F:$F,MATCH($B156,Facebook!$A:$A,0)),""),IF($C$70="Instagram",IFERROR(INDEX(Instagram!$F:$F,MATCH($B156,Instagram!$A:$A,0)),""),IF($C$70="Website",IFERROR(INDEX(Website!$B:$B,MATCH($B156,Website!$A:$A,0)),""),IF($C$70="Airbnb",IFERROR(INDEX(Airbnb!$C:$C,MATCH($B156,Airbnb!$A:$A,0)),""),""))))</f>
        <v>0</v>
      </c>
      <c r="D156" s="1" t="n">
        <f aca="false">IF($C$70="Facebook",IFERROR(INDEX(Facebook!$E:$E,MATCH($B156,Facebook!$A:$A,0)),""),IF($C$70="Instagram",IFERROR(INDEX(Instagram!$E:$E,MATCH($B156,Instagram!$A:$A,0)),""),IF($C$70="Website",IFERROR(INDEX(Website!$F:$F,MATCH($B156,Website!$A:$A,0)),""),IF($C$70="Airbnb",IFERROR(INDEX(Airbnb!$E:$E,MATCH($B156,Airbnb!$A:$A,0)),""),""))))</f>
        <v>0</v>
      </c>
    </row>
    <row r="157" customFormat="false" ht="15" hidden="false" customHeight="true" outlineLevel="0" collapsed="false">
      <c r="B157" s="18" t="n">
        <f aca="false">Facebook!A87</f>
        <v>46248</v>
      </c>
      <c r="C157" s="1" t="n">
        <f aca="false">IF($C$70="Facebook",IFERROR(INDEX(Facebook!$F:$F,MATCH($B157,Facebook!$A:$A,0)),""),IF($C$70="Instagram",IFERROR(INDEX(Instagram!$F:$F,MATCH($B157,Instagram!$A:$A,0)),""),IF($C$70="Website",IFERROR(INDEX(Website!$B:$B,MATCH($B157,Website!$A:$A,0)),""),IF($C$70="Airbnb",IFERROR(INDEX(Airbnb!$C:$C,MATCH($B157,Airbnb!$A:$A,0)),""),""))))</f>
        <v>0</v>
      </c>
      <c r="D157" s="1" t="n">
        <f aca="false">IF($C$70="Facebook",IFERROR(INDEX(Facebook!$E:$E,MATCH($B157,Facebook!$A:$A,0)),""),IF($C$70="Instagram",IFERROR(INDEX(Instagram!$E:$E,MATCH($B157,Instagram!$A:$A,0)),""),IF($C$70="Website",IFERROR(INDEX(Website!$F:$F,MATCH($B157,Website!$A:$A,0)),""),IF($C$70="Airbnb",IFERROR(INDEX(Airbnb!$E:$E,MATCH($B157,Airbnb!$A:$A,0)),""),""))))</f>
        <v>0</v>
      </c>
    </row>
    <row r="158" customFormat="false" ht="15" hidden="false" customHeight="true" outlineLevel="0" collapsed="false">
      <c r="B158" s="18" t="n">
        <f aca="false">Facebook!A88</f>
        <v>46255</v>
      </c>
      <c r="C158" s="1" t="n">
        <f aca="false">IF($C$70="Facebook",IFERROR(INDEX(Facebook!$F:$F,MATCH($B158,Facebook!$A:$A,0)),""),IF($C$70="Instagram",IFERROR(INDEX(Instagram!$F:$F,MATCH($B158,Instagram!$A:$A,0)),""),IF($C$70="Website",IFERROR(INDEX(Website!$B:$B,MATCH($B158,Website!$A:$A,0)),""),IF($C$70="Airbnb",IFERROR(INDEX(Airbnb!$C:$C,MATCH($B158,Airbnb!$A:$A,0)),""),""))))</f>
        <v>0</v>
      </c>
      <c r="D158" s="1" t="n">
        <f aca="false">IF($C$70="Facebook",IFERROR(INDEX(Facebook!$E:$E,MATCH($B158,Facebook!$A:$A,0)),""),IF($C$70="Instagram",IFERROR(INDEX(Instagram!$E:$E,MATCH($B158,Instagram!$A:$A,0)),""),IF($C$70="Website",IFERROR(INDEX(Website!$F:$F,MATCH($B158,Website!$A:$A,0)),""),IF($C$70="Airbnb",IFERROR(INDEX(Airbnb!$E:$E,MATCH($B158,Airbnb!$A:$A,0)),""),""))))</f>
        <v>0</v>
      </c>
    </row>
    <row r="159" customFormat="false" ht="15" hidden="false" customHeight="true" outlineLevel="0" collapsed="false">
      <c r="B159" s="18" t="n">
        <f aca="false">Facebook!A89</f>
        <v>46262</v>
      </c>
      <c r="C159" s="1" t="n">
        <f aca="false">IF($C$70="Facebook",IFERROR(INDEX(Facebook!$F:$F,MATCH($B159,Facebook!$A:$A,0)),""),IF($C$70="Instagram",IFERROR(INDEX(Instagram!$F:$F,MATCH($B159,Instagram!$A:$A,0)),""),IF($C$70="Website",IFERROR(INDEX(Website!$B:$B,MATCH($B159,Website!$A:$A,0)),""),IF($C$70="Airbnb",IFERROR(INDEX(Airbnb!$C:$C,MATCH($B159,Airbnb!$A:$A,0)),""),""))))</f>
        <v>0</v>
      </c>
      <c r="D159" s="1" t="n">
        <f aca="false">IF($C$70="Facebook",IFERROR(INDEX(Facebook!$E:$E,MATCH($B159,Facebook!$A:$A,0)),""),IF($C$70="Instagram",IFERROR(INDEX(Instagram!$E:$E,MATCH($B159,Instagram!$A:$A,0)),""),IF($C$70="Website",IFERROR(INDEX(Website!$F:$F,MATCH($B159,Website!$A:$A,0)),""),IF($C$70="Airbnb",IFERROR(INDEX(Airbnb!$E:$E,MATCH($B159,Airbnb!$A:$A,0)),""),""))))</f>
        <v>0</v>
      </c>
    </row>
    <row r="160" customFormat="false" ht="15" hidden="false" customHeight="true" outlineLevel="0" collapsed="false">
      <c r="B160" s="18" t="n">
        <f aca="false">Facebook!A90</f>
        <v>46269</v>
      </c>
      <c r="C160" s="1" t="n">
        <f aca="false">IF($C$70="Facebook",IFERROR(INDEX(Facebook!$F:$F,MATCH($B160,Facebook!$A:$A,0)),""),IF($C$70="Instagram",IFERROR(INDEX(Instagram!$F:$F,MATCH($B160,Instagram!$A:$A,0)),""),IF($C$70="Website",IFERROR(INDEX(Website!$B:$B,MATCH($B160,Website!$A:$A,0)),""),IF($C$70="Airbnb",IFERROR(INDEX(Airbnb!$C:$C,MATCH($B160,Airbnb!$A:$A,0)),""),""))))</f>
        <v>0</v>
      </c>
      <c r="D160" s="1" t="n">
        <f aca="false">IF($C$70="Facebook",IFERROR(INDEX(Facebook!$E:$E,MATCH($B160,Facebook!$A:$A,0)),""),IF($C$70="Instagram",IFERROR(INDEX(Instagram!$E:$E,MATCH($B160,Instagram!$A:$A,0)),""),IF($C$70="Website",IFERROR(INDEX(Website!$F:$F,MATCH($B160,Website!$A:$A,0)),""),IF($C$70="Airbnb",IFERROR(INDEX(Airbnb!$E:$E,MATCH($B160,Airbnb!$A:$A,0)),""),""))))</f>
        <v>0</v>
      </c>
    </row>
    <row r="161" customFormat="false" ht="15" hidden="false" customHeight="true" outlineLevel="0" collapsed="false">
      <c r="B161" s="18" t="n">
        <f aca="false">Facebook!A91</f>
        <v>46276</v>
      </c>
      <c r="C161" s="1" t="n">
        <f aca="false">IF($C$70="Facebook",IFERROR(INDEX(Facebook!$F:$F,MATCH($B161,Facebook!$A:$A,0)),""),IF($C$70="Instagram",IFERROR(INDEX(Instagram!$F:$F,MATCH($B161,Instagram!$A:$A,0)),""),IF($C$70="Website",IFERROR(INDEX(Website!$B:$B,MATCH($B161,Website!$A:$A,0)),""),IF($C$70="Airbnb",IFERROR(INDEX(Airbnb!$C:$C,MATCH($B161,Airbnb!$A:$A,0)),""),""))))</f>
        <v>0</v>
      </c>
      <c r="D161" s="1" t="n">
        <f aca="false">IF($C$70="Facebook",IFERROR(INDEX(Facebook!$E:$E,MATCH($B161,Facebook!$A:$A,0)),""),IF($C$70="Instagram",IFERROR(INDEX(Instagram!$E:$E,MATCH($B161,Instagram!$A:$A,0)),""),IF($C$70="Website",IFERROR(INDEX(Website!$F:$F,MATCH($B161,Website!$A:$A,0)),""),IF($C$70="Airbnb",IFERROR(INDEX(Airbnb!$E:$E,MATCH($B161,Airbnb!$A:$A,0)),""),""))))</f>
        <v>0</v>
      </c>
    </row>
    <row r="162" customFormat="false" ht="15" hidden="false" customHeight="true" outlineLevel="0" collapsed="false">
      <c r="B162" s="18" t="n">
        <f aca="false">Facebook!A92</f>
        <v>46283</v>
      </c>
      <c r="C162" s="1" t="n">
        <f aca="false">IF($C$70="Facebook",IFERROR(INDEX(Facebook!$F:$F,MATCH($B162,Facebook!$A:$A,0)),""),IF($C$70="Instagram",IFERROR(INDEX(Instagram!$F:$F,MATCH($B162,Instagram!$A:$A,0)),""),IF($C$70="Website",IFERROR(INDEX(Website!$B:$B,MATCH($B162,Website!$A:$A,0)),""),IF($C$70="Airbnb",IFERROR(INDEX(Airbnb!$C:$C,MATCH($B162,Airbnb!$A:$A,0)),""),""))))</f>
        <v>0</v>
      </c>
      <c r="D162" s="1" t="n">
        <f aca="false">IF($C$70="Facebook",IFERROR(INDEX(Facebook!$E:$E,MATCH($B162,Facebook!$A:$A,0)),""),IF($C$70="Instagram",IFERROR(INDEX(Instagram!$E:$E,MATCH($B162,Instagram!$A:$A,0)),""),IF($C$70="Website",IFERROR(INDEX(Website!$F:$F,MATCH($B162,Website!$A:$A,0)),""),IF($C$70="Airbnb",IFERROR(INDEX(Airbnb!$E:$E,MATCH($B162,Airbnb!$A:$A,0)),""),""))))</f>
        <v>0</v>
      </c>
    </row>
    <row r="163" customFormat="false" ht="15" hidden="false" customHeight="true" outlineLevel="0" collapsed="false">
      <c r="B163" s="18" t="n">
        <f aca="false">Facebook!A93</f>
        <v>46290</v>
      </c>
      <c r="C163" s="1" t="n">
        <f aca="false">IF($C$70="Facebook",IFERROR(INDEX(Facebook!$F:$F,MATCH($B163,Facebook!$A:$A,0)),""),IF($C$70="Instagram",IFERROR(INDEX(Instagram!$F:$F,MATCH($B163,Instagram!$A:$A,0)),""),IF($C$70="Website",IFERROR(INDEX(Website!$B:$B,MATCH($B163,Website!$A:$A,0)),""),IF($C$70="Airbnb",IFERROR(INDEX(Airbnb!$C:$C,MATCH($B163,Airbnb!$A:$A,0)),""),""))))</f>
        <v>0</v>
      </c>
      <c r="D163" s="1" t="n">
        <f aca="false">IF($C$70="Facebook",IFERROR(INDEX(Facebook!$E:$E,MATCH($B163,Facebook!$A:$A,0)),""),IF($C$70="Instagram",IFERROR(INDEX(Instagram!$E:$E,MATCH($B163,Instagram!$A:$A,0)),""),IF($C$70="Website",IFERROR(INDEX(Website!$F:$F,MATCH($B163,Website!$A:$A,0)),""),IF($C$70="Airbnb",IFERROR(INDEX(Airbnb!$E:$E,MATCH($B163,Airbnb!$A:$A,0)),""),""))))</f>
        <v>0</v>
      </c>
    </row>
    <row r="164" customFormat="false" ht="15" hidden="false" customHeight="true" outlineLevel="0" collapsed="false">
      <c r="B164" s="18" t="n">
        <f aca="false">Facebook!A94</f>
        <v>46297</v>
      </c>
      <c r="C164" s="1" t="n">
        <f aca="false">IF($C$70="Facebook",IFERROR(INDEX(Facebook!$F:$F,MATCH($B164,Facebook!$A:$A,0)),""),IF($C$70="Instagram",IFERROR(INDEX(Instagram!$F:$F,MATCH($B164,Instagram!$A:$A,0)),""),IF($C$70="Website",IFERROR(INDEX(Website!$B:$B,MATCH($B164,Website!$A:$A,0)),""),IF($C$70="Airbnb",IFERROR(INDEX(Airbnb!$C:$C,MATCH($B164,Airbnb!$A:$A,0)),""),""))))</f>
        <v>0</v>
      </c>
      <c r="D164" s="1" t="n">
        <f aca="false">IF($C$70="Facebook",IFERROR(INDEX(Facebook!$E:$E,MATCH($B164,Facebook!$A:$A,0)),""),IF($C$70="Instagram",IFERROR(INDEX(Instagram!$E:$E,MATCH($B164,Instagram!$A:$A,0)),""),IF($C$70="Website",IFERROR(INDEX(Website!$F:$F,MATCH($B164,Website!$A:$A,0)),""),IF($C$70="Airbnb",IFERROR(INDEX(Airbnb!$E:$E,MATCH($B164,Airbnb!$A:$A,0)),""),""))))</f>
        <v>0</v>
      </c>
    </row>
    <row r="165" customFormat="false" ht="15" hidden="false" customHeight="true" outlineLevel="0" collapsed="false">
      <c r="B165" s="18" t="n">
        <f aca="false">Facebook!A95</f>
        <v>46304</v>
      </c>
      <c r="C165" s="1" t="n">
        <f aca="false">IF($C$70="Facebook",IFERROR(INDEX(Facebook!$F:$F,MATCH($B165,Facebook!$A:$A,0)),""),IF($C$70="Instagram",IFERROR(INDEX(Instagram!$F:$F,MATCH($B165,Instagram!$A:$A,0)),""),IF($C$70="Website",IFERROR(INDEX(Website!$B:$B,MATCH($B165,Website!$A:$A,0)),""),IF($C$70="Airbnb",IFERROR(INDEX(Airbnb!$C:$C,MATCH($B165,Airbnb!$A:$A,0)),""),""))))</f>
        <v>0</v>
      </c>
      <c r="D165" s="1" t="n">
        <f aca="false">IF($C$70="Facebook",IFERROR(INDEX(Facebook!$E:$E,MATCH($B165,Facebook!$A:$A,0)),""),IF($C$70="Instagram",IFERROR(INDEX(Instagram!$E:$E,MATCH($B165,Instagram!$A:$A,0)),""),IF($C$70="Website",IFERROR(INDEX(Website!$F:$F,MATCH($B165,Website!$A:$A,0)),""),IF($C$70="Airbnb",IFERROR(INDEX(Airbnb!$E:$E,MATCH($B165,Airbnb!$A:$A,0)),""),""))))</f>
        <v>0</v>
      </c>
    </row>
    <row r="166" customFormat="false" ht="15" hidden="false" customHeight="true" outlineLevel="0" collapsed="false">
      <c r="B166" s="18" t="n">
        <f aca="false">Facebook!A96</f>
        <v>46311</v>
      </c>
      <c r="C166" s="1" t="n">
        <f aca="false">IF($C$70="Facebook",IFERROR(INDEX(Facebook!$F:$F,MATCH($B166,Facebook!$A:$A,0)),""),IF($C$70="Instagram",IFERROR(INDEX(Instagram!$F:$F,MATCH($B166,Instagram!$A:$A,0)),""),IF($C$70="Website",IFERROR(INDEX(Website!$B:$B,MATCH($B166,Website!$A:$A,0)),""),IF($C$70="Airbnb",IFERROR(INDEX(Airbnb!$C:$C,MATCH($B166,Airbnb!$A:$A,0)),""),""))))</f>
        <v>0</v>
      </c>
      <c r="D166" s="1" t="n">
        <f aca="false">IF($C$70="Facebook",IFERROR(INDEX(Facebook!$E:$E,MATCH($B166,Facebook!$A:$A,0)),""),IF($C$70="Instagram",IFERROR(INDEX(Instagram!$E:$E,MATCH($B166,Instagram!$A:$A,0)),""),IF($C$70="Website",IFERROR(INDEX(Website!$F:$F,MATCH($B166,Website!$A:$A,0)),""),IF($C$70="Airbnb",IFERROR(INDEX(Airbnb!$E:$E,MATCH($B166,Airbnb!$A:$A,0)),""),""))))</f>
        <v>0</v>
      </c>
    </row>
    <row r="167" customFormat="false" ht="15" hidden="false" customHeight="true" outlineLevel="0" collapsed="false">
      <c r="B167" s="18" t="n">
        <f aca="false">Facebook!A97</f>
        <v>46318</v>
      </c>
      <c r="C167" s="1" t="n">
        <f aca="false">IF($C$70="Facebook",IFERROR(INDEX(Facebook!$F:$F,MATCH($B167,Facebook!$A:$A,0)),""),IF($C$70="Instagram",IFERROR(INDEX(Instagram!$F:$F,MATCH($B167,Instagram!$A:$A,0)),""),IF($C$70="Website",IFERROR(INDEX(Website!$B:$B,MATCH($B167,Website!$A:$A,0)),""),IF($C$70="Airbnb",IFERROR(INDEX(Airbnb!$C:$C,MATCH($B167,Airbnb!$A:$A,0)),""),""))))</f>
        <v>0</v>
      </c>
      <c r="D167" s="1" t="n">
        <f aca="false">IF($C$70="Facebook",IFERROR(INDEX(Facebook!$E:$E,MATCH($B167,Facebook!$A:$A,0)),""),IF($C$70="Instagram",IFERROR(INDEX(Instagram!$E:$E,MATCH($B167,Instagram!$A:$A,0)),""),IF($C$70="Website",IFERROR(INDEX(Website!$F:$F,MATCH($B167,Website!$A:$A,0)),""),IF($C$70="Airbnb",IFERROR(INDEX(Airbnb!$E:$E,MATCH($B167,Airbnb!$A:$A,0)),""),""))))</f>
        <v>0</v>
      </c>
    </row>
    <row r="168" customFormat="false" ht="15" hidden="false" customHeight="true" outlineLevel="0" collapsed="false">
      <c r="B168" s="18" t="n">
        <f aca="false">Facebook!A98</f>
        <v>46325</v>
      </c>
      <c r="C168" s="1" t="n">
        <f aca="false">IF($C$70="Facebook",IFERROR(INDEX(Facebook!$F:$F,MATCH($B168,Facebook!$A:$A,0)),""),IF($C$70="Instagram",IFERROR(INDEX(Instagram!$F:$F,MATCH($B168,Instagram!$A:$A,0)),""),IF($C$70="Website",IFERROR(INDEX(Website!$B:$B,MATCH($B168,Website!$A:$A,0)),""),IF($C$70="Airbnb",IFERROR(INDEX(Airbnb!$C:$C,MATCH($B168,Airbnb!$A:$A,0)),""),""))))</f>
        <v>0</v>
      </c>
      <c r="D168" s="1" t="n">
        <f aca="false">IF($C$70="Facebook",IFERROR(INDEX(Facebook!$E:$E,MATCH($B168,Facebook!$A:$A,0)),""),IF($C$70="Instagram",IFERROR(INDEX(Instagram!$E:$E,MATCH($B168,Instagram!$A:$A,0)),""),IF($C$70="Website",IFERROR(INDEX(Website!$F:$F,MATCH($B168,Website!$A:$A,0)),""),IF($C$70="Airbnb",IFERROR(INDEX(Airbnb!$E:$E,MATCH($B168,Airbnb!$A:$A,0)),""),""))))</f>
        <v>0</v>
      </c>
    </row>
    <row r="169" customFormat="false" ht="15" hidden="false" customHeight="true" outlineLevel="0" collapsed="false">
      <c r="B169" s="18" t="n">
        <f aca="false">Facebook!A99</f>
        <v>46332</v>
      </c>
      <c r="C169" s="1" t="n">
        <f aca="false">IF($C$70="Facebook",IFERROR(INDEX(Facebook!$F:$F,MATCH($B169,Facebook!$A:$A,0)),""),IF($C$70="Instagram",IFERROR(INDEX(Instagram!$F:$F,MATCH($B169,Instagram!$A:$A,0)),""),IF($C$70="Website",IFERROR(INDEX(Website!$B:$B,MATCH($B169,Website!$A:$A,0)),""),IF($C$70="Airbnb",IFERROR(INDEX(Airbnb!$C:$C,MATCH($B169,Airbnb!$A:$A,0)),""),""))))</f>
        <v>0</v>
      </c>
      <c r="D169" s="1" t="n">
        <f aca="false">IF($C$70="Facebook",IFERROR(INDEX(Facebook!$E:$E,MATCH($B169,Facebook!$A:$A,0)),""),IF($C$70="Instagram",IFERROR(INDEX(Instagram!$E:$E,MATCH($B169,Instagram!$A:$A,0)),""),IF($C$70="Website",IFERROR(INDEX(Website!$F:$F,MATCH($B169,Website!$A:$A,0)),""),IF($C$70="Airbnb",IFERROR(INDEX(Airbnb!$E:$E,MATCH($B169,Airbnb!$A:$A,0)),""),""))))</f>
        <v>0</v>
      </c>
    </row>
    <row r="170" customFormat="false" ht="15" hidden="false" customHeight="true" outlineLevel="0" collapsed="false">
      <c r="B170" s="18" t="n">
        <f aca="false">Facebook!A100</f>
        <v>46339</v>
      </c>
      <c r="C170" s="1" t="n">
        <f aca="false">IF($C$70="Facebook",IFERROR(INDEX(Facebook!$F:$F,MATCH($B170,Facebook!$A:$A,0)),""),IF($C$70="Instagram",IFERROR(INDEX(Instagram!$F:$F,MATCH($B170,Instagram!$A:$A,0)),""),IF($C$70="Website",IFERROR(INDEX(Website!$B:$B,MATCH($B170,Website!$A:$A,0)),""),IF($C$70="Airbnb",IFERROR(INDEX(Airbnb!$C:$C,MATCH($B170,Airbnb!$A:$A,0)),""),""))))</f>
        <v>0</v>
      </c>
      <c r="D170" s="1" t="n">
        <f aca="false">IF($C$70="Facebook",IFERROR(INDEX(Facebook!$E:$E,MATCH($B170,Facebook!$A:$A,0)),""),IF($C$70="Instagram",IFERROR(INDEX(Instagram!$E:$E,MATCH($B170,Instagram!$A:$A,0)),""),IF($C$70="Website",IFERROR(INDEX(Website!$F:$F,MATCH($B170,Website!$A:$A,0)),""),IF($C$70="Airbnb",IFERROR(INDEX(Airbnb!$E:$E,MATCH($B170,Airbnb!$A:$A,0)),""),""))))</f>
        <v>0</v>
      </c>
    </row>
    <row r="171" customFormat="false" ht="15" hidden="false" customHeight="true" outlineLevel="0" collapsed="false">
      <c r="B171" s="18" t="n">
        <f aca="false">Facebook!A101</f>
        <v>46346</v>
      </c>
      <c r="C171" s="1" t="n">
        <f aca="false">IF($C$70="Facebook",IFERROR(INDEX(Facebook!$F:$F,MATCH($B171,Facebook!$A:$A,0)),""),IF($C$70="Instagram",IFERROR(INDEX(Instagram!$F:$F,MATCH($B171,Instagram!$A:$A,0)),""),IF($C$70="Website",IFERROR(INDEX(Website!$B:$B,MATCH($B171,Website!$A:$A,0)),""),IF($C$70="Airbnb",IFERROR(INDEX(Airbnb!$C:$C,MATCH($B171,Airbnb!$A:$A,0)),""),""))))</f>
        <v>0</v>
      </c>
      <c r="D171" s="1" t="n">
        <f aca="false">IF($C$70="Facebook",IFERROR(INDEX(Facebook!$E:$E,MATCH($B171,Facebook!$A:$A,0)),""),IF($C$70="Instagram",IFERROR(INDEX(Instagram!$E:$E,MATCH($B171,Instagram!$A:$A,0)),""),IF($C$70="Website",IFERROR(INDEX(Website!$F:$F,MATCH($B171,Website!$A:$A,0)),""),IF($C$70="Airbnb",IFERROR(INDEX(Airbnb!$E:$E,MATCH($B171,Airbnb!$A:$A,0)),""),""))))</f>
        <v>0</v>
      </c>
    </row>
    <row r="172" customFormat="false" ht="15" hidden="false" customHeight="true" outlineLevel="0" collapsed="false">
      <c r="B172" s="18" t="n">
        <f aca="false">Facebook!A102</f>
        <v>46353</v>
      </c>
      <c r="C172" s="1" t="n">
        <f aca="false">IF($C$70="Facebook",IFERROR(INDEX(Facebook!$F:$F,MATCH($B172,Facebook!$A:$A,0)),""),IF($C$70="Instagram",IFERROR(INDEX(Instagram!$F:$F,MATCH($B172,Instagram!$A:$A,0)),""),IF($C$70="Website",IFERROR(INDEX(Website!$B:$B,MATCH($B172,Website!$A:$A,0)),""),IF($C$70="Airbnb",IFERROR(INDEX(Airbnb!$C:$C,MATCH($B172,Airbnb!$A:$A,0)),""),""))))</f>
        <v>0</v>
      </c>
      <c r="D172" s="1" t="n">
        <f aca="false">IF($C$70="Facebook",IFERROR(INDEX(Facebook!$E:$E,MATCH($B172,Facebook!$A:$A,0)),""),IF($C$70="Instagram",IFERROR(INDEX(Instagram!$E:$E,MATCH($B172,Instagram!$A:$A,0)),""),IF($C$70="Website",IFERROR(INDEX(Website!$F:$F,MATCH($B172,Website!$A:$A,0)),""),IF($C$70="Airbnb",IFERROR(INDEX(Airbnb!$E:$E,MATCH($B172,Airbnb!$A:$A,0)),""),""))))</f>
        <v>0</v>
      </c>
    </row>
    <row r="173" customFormat="false" ht="15" hidden="false" customHeight="true" outlineLevel="0" collapsed="false">
      <c r="B173" s="18" t="n">
        <f aca="false">Facebook!A103</f>
        <v>46360</v>
      </c>
      <c r="C173" s="1" t="n">
        <f aca="false">IF($C$70="Facebook",IFERROR(INDEX(Facebook!$F:$F,MATCH($B173,Facebook!$A:$A,0)),""),IF($C$70="Instagram",IFERROR(INDEX(Instagram!$F:$F,MATCH($B173,Instagram!$A:$A,0)),""),IF($C$70="Website",IFERROR(INDEX(Website!$B:$B,MATCH($B173,Website!$A:$A,0)),""),IF($C$70="Airbnb",IFERROR(INDEX(Airbnb!$C:$C,MATCH($B173,Airbnb!$A:$A,0)),""),""))))</f>
        <v>0</v>
      </c>
      <c r="D173" s="1" t="n">
        <f aca="false">IF($C$70="Facebook",IFERROR(INDEX(Facebook!$E:$E,MATCH($B173,Facebook!$A:$A,0)),""),IF($C$70="Instagram",IFERROR(INDEX(Instagram!$E:$E,MATCH($B173,Instagram!$A:$A,0)),""),IF($C$70="Website",IFERROR(INDEX(Website!$F:$F,MATCH($B173,Website!$A:$A,0)),""),IF($C$70="Airbnb",IFERROR(INDEX(Airbnb!$E:$E,MATCH($B173,Airbnb!$A:$A,0)),""),""))))</f>
        <v>0</v>
      </c>
    </row>
    <row r="174" customFormat="false" ht="15" hidden="false" customHeight="true" outlineLevel="0" collapsed="false">
      <c r="B174" s="18" t="n">
        <f aca="false">Facebook!A104</f>
        <v>46367</v>
      </c>
      <c r="C174" s="1" t="n">
        <f aca="false">IF($C$70="Facebook",IFERROR(INDEX(Facebook!$F:$F,MATCH($B174,Facebook!$A:$A,0)),""),IF($C$70="Instagram",IFERROR(INDEX(Instagram!$F:$F,MATCH($B174,Instagram!$A:$A,0)),""),IF($C$70="Website",IFERROR(INDEX(Website!$B:$B,MATCH($B174,Website!$A:$A,0)),""),IF($C$70="Airbnb",IFERROR(INDEX(Airbnb!$C:$C,MATCH($B174,Airbnb!$A:$A,0)),""),""))))</f>
        <v>0</v>
      </c>
      <c r="D174" s="1" t="n">
        <f aca="false">IF($C$70="Facebook",IFERROR(INDEX(Facebook!$E:$E,MATCH($B174,Facebook!$A:$A,0)),""),IF($C$70="Instagram",IFERROR(INDEX(Instagram!$E:$E,MATCH($B174,Instagram!$A:$A,0)),""),IF($C$70="Website",IFERROR(INDEX(Website!$F:$F,MATCH($B174,Website!$A:$A,0)),""),IF($C$70="Airbnb",IFERROR(INDEX(Airbnb!$E:$E,MATCH($B174,Airbnb!$A:$A,0)),""),""))))</f>
        <v>0</v>
      </c>
    </row>
    <row r="175" customFormat="false" ht="15" hidden="false" customHeight="true" outlineLevel="0" collapsed="false">
      <c r="B175" s="18" t="n">
        <f aca="false">Facebook!A105</f>
        <v>46374</v>
      </c>
      <c r="C175" s="1" t="n">
        <f aca="false">IF($C$70="Facebook",IFERROR(INDEX(Facebook!$F:$F,MATCH($B175,Facebook!$A:$A,0)),""),IF($C$70="Instagram",IFERROR(INDEX(Instagram!$F:$F,MATCH($B175,Instagram!$A:$A,0)),""),IF($C$70="Website",IFERROR(INDEX(Website!$B:$B,MATCH($B175,Website!$A:$A,0)),""),IF($C$70="Airbnb",IFERROR(INDEX(Airbnb!$C:$C,MATCH($B175,Airbnb!$A:$A,0)),""),""))))</f>
        <v>0</v>
      </c>
      <c r="D175" s="1" t="n">
        <f aca="false">IF($C$70="Facebook",IFERROR(INDEX(Facebook!$E:$E,MATCH($B175,Facebook!$A:$A,0)),""),IF($C$70="Instagram",IFERROR(INDEX(Instagram!$E:$E,MATCH($B175,Instagram!$A:$A,0)),""),IF($C$70="Website",IFERROR(INDEX(Website!$F:$F,MATCH($B175,Website!$A:$A,0)),""),IF($C$70="Airbnb",IFERROR(INDEX(Airbnb!$E:$E,MATCH($B175,Airbnb!$A:$A,0)),""),""))))</f>
        <v>0</v>
      </c>
    </row>
    <row r="176" customFormat="false" ht="15" hidden="false" customHeight="true" outlineLevel="0" collapsed="false">
      <c r="B176" s="18" t="n">
        <f aca="false">Facebook!A106</f>
        <v>46381</v>
      </c>
      <c r="C176" s="1" t="n">
        <f aca="false">IF($C$70="Facebook",IFERROR(INDEX(Facebook!$F:$F,MATCH($B176,Facebook!$A:$A,0)),""),IF($C$70="Instagram",IFERROR(INDEX(Instagram!$F:$F,MATCH($B176,Instagram!$A:$A,0)),""),IF($C$70="Website",IFERROR(INDEX(Website!$B:$B,MATCH($B176,Website!$A:$A,0)),""),IF($C$70="Airbnb",IFERROR(INDEX(Airbnb!$C:$C,MATCH($B176,Airbnb!$A:$A,0)),""),""))))</f>
        <v>0</v>
      </c>
      <c r="D176" s="1" t="n">
        <f aca="false">IF($C$70="Facebook",IFERROR(INDEX(Facebook!$E:$E,MATCH($B176,Facebook!$A:$A,0)),""),IF($C$70="Instagram",IFERROR(INDEX(Instagram!$E:$E,MATCH($B176,Instagram!$A:$A,0)),""),IF($C$70="Website",IFERROR(INDEX(Website!$F:$F,MATCH($B176,Website!$A:$A,0)),""),IF($C$70="Airbnb",IFERROR(INDEX(Airbnb!$E:$E,MATCH($B176,Airbnb!$A:$A,0)),""),""))))</f>
        <v>0</v>
      </c>
    </row>
    <row r="177" customFormat="false" ht="15" hidden="false" customHeight="true" outlineLevel="0" collapsed="false">
      <c r="B177" s="18" t="n">
        <f aca="false">Facebook!A107</f>
        <v>46388</v>
      </c>
      <c r="C177" s="1" t="n">
        <f aca="false">IF($C$70="Facebook",IFERROR(INDEX(Facebook!$F:$F,MATCH($B177,Facebook!$A:$A,0)),""),IF($C$70="Instagram",IFERROR(INDEX(Instagram!$F:$F,MATCH($B177,Instagram!$A:$A,0)),""),IF($C$70="Website",IFERROR(INDEX(Website!$B:$B,MATCH($B177,Website!$A:$A,0)),""),IF($C$70="Airbnb",IFERROR(INDEX(Airbnb!$C:$C,MATCH($B177,Airbnb!$A:$A,0)),""),""))))</f>
        <v>0</v>
      </c>
      <c r="D177" s="1" t="n">
        <f aca="false">IF($C$70="Facebook",IFERROR(INDEX(Facebook!$E:$E,MATCH($B177,Facebook!$A:$A,0)),""),IF($C$70="Instagram",IFERROR(INDEX(Instagram!$E:$E,MATCH($B177,Instagram!$A:$A,0)),""),IF($C$70="Website",IFERROR(INDEX(Website!$F:$F,MATCH($B177,Website!$A:$A,0)),""),IF($C$70="Airbnb",IFERROR(INDEX(Airbnb!$E:$E,MATCH($B177,Airbnb!$A:$A,0)),""),""))))</f>
        <v>0</v>
      </c>
    </row>
    <row r="178" customFormat="false" ht="15" hidden="false" customHeight="true" outlineLevel="0" collapsed="false">
      <c r="B178" s="18" t="n">
        <f aca="false">Facebook!A108</f>
        <v>46395</v>
      </c>
      <c r="C178" s="1" t="n">
        <f aca="false">IF($C$70="Facebook",IFERROR(INDEX(Facebook!$F:$F,MATCH($B178,Facebook!$A:$A,0)),""),IF($C$70="Instagram",IFERROR(INDEX(Instagram!$F:$F,MATCH($B178,Instagram!$A:$A,0)),""),IF($C$70="Website",IFERROR(INDEX(Website!$B:$B,MATCH($B178,Website!$A:$A,0)),""),IF($C$70="Airbnb",IFERROR(INDEX(Airbnb!$C:$C,MATCH($B178,Airbnb!$A:$A,0)),""),""))))</f>
        <v>0</v>
      </c>
      <c r="D178" s="1" t="n">
        <f aca="false">IF($C$70="Facebook",IFERROR(INDEX(Facebook!$E:$E,MATCH($B178,Facebook!$A:$A,0)),""),IF($C$70="Instagram",IFERROR(INDEX(Instagram!$E:$E,MATCH($B178,Instagram!$A:$A,0)),""),IF($C$70="Website",IFERROR(INDEX(Website!$F:$F,MATCH($B178,Website!$A:$A,0)),""),IF($C$70="Airbnb",IFERROR(INDEX(Airbnb!$E:$E,MATCH($B178,Airbnb!$A:$A,0)),""),""))))</f>
        <v>0</v>
      </c>
    </row>
    <row r="179" customFormat="false" ht="15" hidden="false" customHeight="true" outlineLevel="0" collapsed="false">
      <c r="B179" s="18" t="n">
        <f aca="false">Facebook!A109</f>
        <v>46402</v>
      </c>
      <c r="C179" s="1" t="n">
        <f aca="false">IF($C$70="Facebook",IFERROR(INDEX(Facebook!$F:$F,MATCH($B179,Facebook!$A:$A,0)),""),IF($C$70="Instagram",IFERROR(INDEX(Instagram!$F:$F,MATCH($B179,Instagram!$A:$A,0)),""),IF($C$70="Website",IFERROR(INDEX(Website!$B:$B,MATCH($B179,Website!$A:$A,0)),""),IF($C$70="Airbnb",IFERROR(INDEX(Airbnb!$C:$C,MATCH($B179,Airbnb!$A:$A,0)),""),""))))</f>
        <v>0</v>
      </c>
      <c r="D179" s="1" t="n">
        <f aca="false">IF($C$70="Facebook",IFERROR(INDEX(Facebook!$E:$E,MATCH($B179,Facebook!$A:$A,0)),""),IF($C$70="Instagram",IFERROR(INDEX(Instagram!$E:$E,MATCH($B179,Instagram!$A:$A,0)),""),IF($C$70="Website",IFERROR(INDEX(Website!$F:$F,MATCH($B179,Website!$A:$A,0)),""),IF($C$70="Airbnb",IFERROR(INDEX(Airbnb!$E:$E,MATCH($B179,Airbnb!$A:$A,0)),""),""))))</f>
        <v>0</v>
      </c>
    </row>
    <row r="180" customFormat="false" ht="15" hidden="false" customHeight="true" outlineLevel="0" collapsed="false">
      <c r="B180" s="18" t="n">
        <f aca="false">Facebook!A110</f>
        <v>46409</v>
      </c>
      <c r="C180" s="1" t="n">
        <f aca="false">IF($C$70="Facebook",IFERROR(INDEX(Facebook!$F:$F,MATCH($B180,Facebook!$A:$A,0)),""),IF($C$70="Instagram",IFERROR(INDEX(Instagram!$F:$F,MATCH($B180,Instagram!$A:$A,0)),""),IF($C$70="Website",IFERROR(INDEX(Website!$B:$B,MATCH($B180,Website!$A:$A,0)),""),IF($C$70="Airbnb",IFERROR(INDEX(Airbnb!$C:$C,MATCH($B180,Airbnb!$A:$A,0)),""),""))))</f>
        <v>0</v>
      </c>
      <c r="D180" s="1" t="n">
        <f aca="false">IF($C$70="Facebook",IFERROR(INDEX(Facebook!$E:$E,MATCH($B180,Facebook!$A:$A,0)),""),IF($C$70="Instagram",IFERROR(INDEX(Instagram!$E:$E,MATCH($B180,Instagram!$A:$A,0)),""),IF($C$70="Website",IFERROR(INDEX(Website!$F:$F,MATCH($B180,Website!$A:$A,0)),""),IF($C$70="Airbnb",IFERROR(INDEX(Airbnb!$E:$E,MATCH($B180,Airbnb!$A:$A,0)),""),""))))</f>
        <v>0</v>
      </c>
    </row>
    <row r="181" customFormat="false" ht="15" hidden="false" customHeight="true" outlineLevel="0" collapsed="false">
      <c r="B181" s="18" t="n">
        <f aca="false">Facebook!A111</f>
        <v>46416</v>
      </c>
      <c r="C181" s="1" t="n">
        <f aca="false">IF($C$70="Facebook",IFERROR(INDEX(Facebook!$F:$F,MATCH($B181,Facebook!$A:$A,0)),""),IF($C$70="Instagram",IFERROR(INDEX(Instagram!$F:$F,MATCH($B181,Instagram!$A:$A,0)),""),IF($C$70="Website",IFERROR(INDEX(Website!$B:$B,MATCH($B181,Website!$A:$A,0)),""),IF($C$70="Airbnb",IFERROR(INDEX(Airbnb!$C:$C,MATCH($B181,Airbnb!$A:$A,0)),""),""))))</f>
        <v>0</v>
      </c>
      <c r="D181" s="1" t="n">
        <f aca="false">IF($C$70="Facebook",IFERROR(INDEX(Facebook!$E:$E,MATCH($B181,Facebook!$A:$A,0)),""),IF($C$70="Instagram",IFERROR(INDEX(Instagram!$E:$E,MATCH($B181,Instagram!$A:$A,0)),""),IF($C$70="Website",IFERROR(INDEX(Website!$F:$F,MATCH($B181,Website!$A:$A,0)),""),IF($C$70="Airbnb",IFERROR(INDEX(Airbnb!$E:$E,MATCH($B181,Airbnb!$A:$A,0)),""),""))))</f>
        <v>0</v>
      </c>
    </row>
    <row r="182" customFormat="false" ht="15" hidden="false" customHeight="true" outlineLevel="0" collapsed="false">
      <c r="B182" s="18" t="n">
        <f aca="false">Facebook!A112</f>
        <v>46423</v>
      </c>
      <c r="C182" s="1" t="n">
        <f aca="false">IF($C$70="Facebook",IFERROR(INDEX(Facebook!$F:$F,MATCH($B182,Facebook!$A:$A,0)),""),IF($C$70="Instagram",IFERROR(INDEX(Instagram!$F:$F,MATCH($B182,Instagram!$A:$A,0)),""),IF($C$70="Website",IFERROR(INDEX(Website!$B:$B,MATCH($B182,Website!$A:$A,0)),""),IF($C$70="Airbnb",IFERROR(INDEX(Airbnb!$C:$C,MATCH($B182,Airbnb!$A:$A,0)),""),""))))</f>
        <v>0</v>
      </c>
      <c r="D182" s="1" t="n">
        <f aca="false">IF($C$70="Facebook",IFERROR(INDEX(Facebook!$E:$E,MATCH($B182,Facebook!$A:$A,0)),""),IF($C$70="Instagram",IFERROR(INDEX(Instagram!$E:$E,MATCH($B182,Instagram!$A:$A,0)),""),IF($C$70="Website",IFERROR(INDEX(Website!$F:$F,MATCH($B182,Website!$A:$A,0)),""),IF($C$70="Airbnb",IFERROR(INDEX(Airbnb!$E:$E,MATCH($B182,Airbnb!$A:$A,0)),""),""))))</f>
        <v>0</v>
      </c>
    </row>
    <row r="183" customFormat="false" ht="15" hidden="false" customHeight="true" outlineLevel="0" collapsed="false">
      <c r="B183" s="18" t="n">
        <f aca="false">Facebook!A113</f>
        <v>46430</v>
      </c>
      <c r="C183" s="1" t="n">
        <f aca="false">IF($C$70="Facebook",IFERROR(INDEX(Facebook!$F:$F,MATCH($B183,Facebook!$A:$A,0)),""),IF($C$70="Instagram",IFERROR(INDEX(Instagram!$F:$F,MATCH($B183,Instagram!$A:$A,0)),""),IF($C$70="Website",IFERROR(INDEX(Website!$B:$B,MATCH($B183,Website!$A:$A,0)),""),IF($C$70="Airbnb",IFERROR(INDEX(Airbnb!$C:$C,MATCH($B183,Airbnb!$A:$A,0)),""),""))))</f>
        <v>0</v>
      </c>
      <c r="D183" s="1" t="n">
        <f aca="false">IF($C$70="Facebook",IFERROR(INDEX(Facebook!$E:$E,MATCH($B183,Facebook!$A:$A,0)),""),IF($C$70="Instagram",IFERROR(INDEX(Instagram!$E:$E,MATCH($B183,Instagram!$A:$A,0)),""),IF($C$70="Website",IFERROR(INDEX(Website!$F:$F,MATCH($B183,Website!$A:$A,0)),""),IF($C$70="Airbnb",IFERROR(INDEX(Airbnb!$E:$E,MATCH($B183,Airbnb!$A:$A,0)),""),""))))</f>
        <v>0</v>
      </c>
    </row>
    <row r="184" customFormat="false" ht="15" hidden="false" customHeight="true" outlineLevel="0" collapsed="false">
      <c r="B184" s="18" t="n">
        <f aca="false">Facebook!A114</f>
        <v>46437</v>
      </c>
      <c r="C184" s="1" t="n">
        <f aca="false">IF($C$70="Facebook",IFERROR(INDEX(Facebook!$F:$F,MATCH($B184,Facebook!$A:$A,0)),""),IF($C$70="Instagram",IFERROR(INDEX(Instagram!$F:$F,MATCH($B184,Instagram!$A:$A,0)),""),IF($C$70="Website",IFERROR(INDEX(Website!$B:$B,MATCH($B184,Website!$A:$A,0)),""),IF($C$70="Airbnb",IFERROR(INDEX(Airbnb!$C:$C,MATCH($B184,Airbnb!$A:$A,0)),""),""))))</f>
        <v>0</v>
      </c>
      <c r="D184" s="1" t="n">
        <f aca="false">IF($C$70="Facebook",IFERROR(INDEX(Facebook!$E:$E,MATCH($B184,Facebook!$A:$A,0)),""),IF($C$70="Instagram",IFERROR(INDEX(Instagram!$E:$E,MATCH($B184,Instagram!$A:$A,0)),""),IF($C$70="Website",IFERROR(INDEX(Website!$F:$F,MATCH($B184,Website!$A:$A,0)),""),IF($C$70="Airbnb",IFERROR(INDEX(Airbnb!$E:$E,MATCH($B184,Airbnb!$A:$A,0)),""),""))))</f>
        <v>0</v>
      </c>
    </row>
    <row r="185" customFormat="false" ht="15" hidden="false" customHeight="true" outlineLevel="0" collapsed="false">
      <c r="B185" s="18" t="n">
        <f aca="false">Facebook!A115</f>
        <v>46444</v>
      </c>
      <c r="C185" s="1" t="n">
        <f aca="false">IF($C$70="Facebook",IFERROR(INDEX(Facebook!$F:$F,MATCH($B185,Facebook!$A:$A,0)),""),IF($C$70="Instagram",IFERROR(INDEX(Instagram!$F:$F,MATCH($B185,Instagram!$A:$A,0)),""),IF($C$70="Website",IFERROR(INDEX(Website!$B:$B,MATCH($B185,Website!$A:$A,0)),""),IF($C$70="Airbnb",IFERROR(INDEX(Airbnb!$C:$C,MATCH($B185,Airbnb!$A:$A,0)),""),""))))</f>
        <v>0</v>
      </c>
      <c r="D185" s="1" t="n">
        <f aca="false">IF($C$70="Facebook",IFERROR(INDEX(Facebook!$E:$E,MATCH($B185,Facebook!$A:$A,0)),""),IF($C$70="Instagram",IFERROR(INDEX(Instagram!$E:$E,MATCH($B185,Instagram!$A:$A,0)),""),IF($C$70="Website",IFERROR(INDEX(Website!$F:$F,MATCH($B185,Website!$A:$A,0)),""),IF($C$70="Airbnb",IFERROR(INDEX(Airbnb!$E:$E,MATCH($B185,Airbnb!$A:$A,0)),""),""))))</f>
        <v>0</v>
      </c>
    </row>
    <row r="186" customFormat="false" ht="15" hidden="false" customHeight="true" outlineLevel="0" collapsed="false">
      <c r="B186" s="18" t="n">
        <f aca="false">Facebook!A116</f>
        <v>46451</v>
      </c>
      <c r="C186" s="1" t="n">
        <f aca="false">IF($C$70="Facebook",IFERROR(INDEX(Facebook!$F:$F,MATCH($B186,Facebook!$A:$A,0)),""),IF($C$70="Instagram",IFERROR(INDEX(Instagram!$F:$F,MATCH($B186,Instagram!$A:$A,0)),""),IF($C$70="Website",IFERROR(INDEX(Website!$B:$B,MATCH($B186,Website!$A:$A,0)),""),IF($C$70="Airbnb",IFERROR(INDEX(Airbnb!$C:$C,MATCH($B186,Airbnb!$A:$A,0)),""),""))))</f>
        <v>0</v>
      </c>
      <c r="D186" s="1" t="n">
        <f aca="false">IF($C$70="Facebook",IFERROR(INDEX(Facebook!$E:$E,MATCH($B186,Facebook!$A:$A,0)),""),IF($C$70="Instagram",IFERROR(INDEX(Instagram!$E:$E,MATCH($B186,Instagram!$A:$A,0)),""),IF($C$70="Website",IFERROR(INDEX(Website!$F:$F,MATCH($B186,Website!$A:$A,0)),""),IF($C$70="Airbnb",IFERROR(INDEX(Airbnb!$E:$E,MATCH($B186,Airbnb!$A:$A,0)),""),""))))</f>
        <v>0</v>
      </c>
    </row>
    <row r="187" customFormat="false" ht="15" hidden="false" customHeight="true" outlineLevel="0" collapsed="false">
      <c r="B187" s="18" t="n">
        <f aca="false">Facebook!A117</f>
        <v>46458</v>
      </c>
      <c r="C187" s="1" t="n">
        <f aca="false">IF($C$70="Facebook",IFERROR(INDEX(Facebook!$F:$F,MATCH($B187,Facebook!$A:$A,0)),""),IF($C$70="Instagram",IFERROR(INDEX(Instagram!$F:$F,MATCH($B187,Instagram!$A:$A,0)),""),IF($C$70="Website",IFERROR(INDEX(Website!$B:$B,MATCH($B187,Website!$A:$A,0)),""),IF($C$70="Airbnb",IFERROR(INDEX(Airbnb!$C:$C,MATCH($B187,Airbnb!$A:$A,0)),""),""))))</f>
        <v>0</v>
      </c>
      <c r="D187" s="1" t="n">
        <f aca="false">IF($C$70="Facebook",IFERROR(INDEX(Facebook!$E:$E,MATCH($B187,Facebook!$A:$A,0)),""),IF($C$70="Instagram",IFERROR(INDEX(Instagram!$E:$E,MATCH($B187,Instagram!$A:$A,0)),""),IF($C$70="Website",IFERROR(INDEX(Website!$F:$F,MATCH($B187,Website!$A:$A,0)),""),IF($C$70="Airbnb",IFERROR(INDEX(Airbnb!$E:$E,MATCH($B187,Airbnb!$A:$A,0)),""),""))))</f>
        <v>0</v>
      </c>
    </row>
    <row r="188" customFormat="false" ht="15" hidden="false" customHeight="true" outlineLevel="0" collapsed="false">
      <c r="B188" s="18" t="n">
        <f aca="false">Facebook!A118</f>
        <v>46465</v>
      </c>
      <c r="C188" s="1" t="n">
        <f aca="false">IF($C$70="Facebook",IFERROR(INDEX(Facebook!$F:$F,MATCH($B188,Facebook!$A:$A,0)),""),IF($C$70="Instagram",IFERROR(INDEX(Instagram!$F:$F,MATCH($B188,Instagram!$A:$A,0)),""),IF($C$70="Website",IFERROR(INDEX(Website!$B:$B,MATCH($B188,Website!$A:$A,0)),""),IF($C$70="Airbnb",IFERROR(INDEX(Airbnb!$C:$C,MATCH($B188,Airbnb!$A:$A,0)),""),""))))</f>
        <v>0</v>
      </c>
      <c r="D188" s="1" t="n">
        <f aca="false">IF($C$70="Facebook",IFERROR(INDEX(Facebook!$E:$E,MATCH($B188,Facebook!$A:$A,0)),""),IF($C$70="Instagram",IFERROR(INDEX(Instagram!$E:$E,MATCH($B188,Instagram!$A:$A,0)),""),IF($C$70="Website",IFERROR(INDEX(Website!$F:$F,MATCH($B188,Website!$A:$A,0)),""),IF($C$70="Airbnb",IFERROR(INDEX(Airbnb!$E:$E,MATCH($B188,Airbnb!$A:$A,0)),""),""))))</f>
        <v>0</v>
      </c>
    </row>
    <row r="189" customFormat="false" ht="15" hidden="false" customHeight="true" outlineLevel="0" collapsed="false">
      <c r="B189" s="18" t="n">
        <f aca="false">Facebook!A119</f>
        <v>46472</v>
      </c>
      <c r="C189" s="1" t="n">
        <f aca="false">IF($C$70="Facebook",IFERROR(INDEX(Facebook!$F:$F,MATCH($B189,Facebook!$A:$A,0)),""),IF($C$70="Instagram",IFERROR(INDEX(Instagram!$F:$F,MATCH($B189,Instagram!$A:$A,0)),""),IF($C$70="Website",IFERROR(INDEX(Website!$B:$B,MATCH($B189,Website!$A:$A,0)),""),IF($C$70="Airbnb",IFERROR(INDEX(Airbnb!$C:$C,MATCH($B189,Airbnb!$A:$A,0)),""),""))))</f>
        <v>0</v>
      </c>
      <c r="D189" s="1" t="n">
        <f aca="false">IF($C$70="Facebook",IFERROR(INDEX(Facebook!$E:$E,MATCH($B189,Facebook!$A:$A,0)),""),IF($C$70="Instagram",IFERROR(INDEX(Instagram!$E:$E,MATCH($B189,Instagram!$A:$A,0)),""),IF($C$70="Website",IFERROR(INDEX(Website!$F:$F,MATCH($B189,Website!$A:$A,0)),""),IF($C$70="Airbnb",IFERROR(INDEX(Airbnb!$E:$E,MATCH($B189,Airbnb!$A:$A,0)),""),""))))</f>
        <v>0</v>
      </c>
    </row>
    <row r="190" customFormat="false" ht="15" hidden="false" customHeight="true" outlineLevel="0" collapsed="false">
      <c r="B190" s="18" t="n">
        <f aca="false">Facebook!A120</f>
        <v>46479</v>
      </c>
      <c r="C190" s="1" t="n">
        <f aca="false">IF($C$70="Facebook",IFERROR(INDEX(Facebook!$F:$F,MATCH($B190,Facebook!$A:$A,0)),""),IF($C$70="Instagram",IFERROR(INDEX(Instagram!$F:$F,MATCH($B190,Instagram!$A:$A,0)),""),IF($C$70="Website",IFERROR(INDEX(Website!$B:$B,MATCH($B190,Website!$A:$A,0)),""),IF($C$70="Airbnb",IFERROR(INDEX(Airbnb!$C:$C,MATCH($B190,Airbnb!$A:$A,0)),""),""))))</f>
        <v>0</v>
      </c>
      <c r="D190" s="1" t="n">
        <f aca="false">IF($C$70="Facebook",IFERROR(INDEX(Facebook!$E:$E,MATCH($B190,Facebook!$A:$A,0)),""),IF($C$70="Instagram",IFERROR(INDEX(Instagram!$E:$E,MATCH($B190,Instagram!$A:$A,0)),""),IF($C$70="Website",IFERROR(INDEX(Website!$F:$F,MATCH($B190,Website!$A:$A,0)),""),IF($C$70="Airbnb",IFERROR(INDEX(Airbnb!$E:$E,MATCH($B190,Airbnb!$A:$A,0)),""),""))))</f>
        <v>0</v>
      </c>
    </row>
    <row r="191" customFormat="false" ht="15" hidden="false" customHeight="true" outlineLevel="0" collapsed="false">
      <c r="B191" s="18" t="n">
        <f aca="false">Facebook!A121</f>
        <v>46486</v>
      </c>
      <c r="C191" s="1" t="n">
        <f aca="false">IF($C$70="Facebook",IFERROR(INDEX(Facebook!$F:$F,MATCH($B191,Facebook!$A:$A,0)),""),IF($C$70="Instagram",IFERROR(INDEX(Instagram!$F:$F,MATCH($B191,Instagram!$A:$A,0)),""),IF($C$70="Website",IFERROR(INDEX(Website!$B:$B,MATCH($B191,Website!$A:$A,0)),""),IF($C$70="Airbnb",IFERROR(INDEX(Airbnb!$C:$C,MATCH($B191,Airbnb!$A:$A,0)),""),""))))</f>
        <v>0</v>
      </c>
      <c r="D191" s="1" t="n">
        <f aca="false">IF($C$70="Facebook",IFERROR(INDEX(Facebook!$E:$E,MATCH($B191,Facebook!$A:$A,0)),""),IF($C$70="Instagram",IFERROR(INDEX(Instagram!$E:$E,MATCH($B191,Instagram!$A:$A,0)),""),IF($C$70="Website",IFERROR(INDEX(Website!$F:$F,MATCH($B191,Website!$A:$A,0)),""),IF($C$70="Airbnb",IFERROR(INDEX(Airbnb!$E:$E,MATCH($B191,Airbnb!$A:$A,0)),""),""))))</f>
        <v>0</v>
      </c>
    </row>
    <row r="192" customFormat="false" ht="15" hidden="false" customHeight="true" outlineLevel="0" collapsed="false">
      <c r="B192" s="18" t="n">
        <f aca="false">Facebook!A122</f>
        <v>46493</v>
      </c>
      <c r="C192" s="1" t="n">
        <f aca="false">IF($C$70="Facebook",IFERROR(INDEX(Facebook!$F:$F,MATCH($B192,Facebook!$A:$A,0)),""),IF($C$70="Instagram",IFERROR(INDEX(Instagram!$F:$F,MATCH($B192,Instagram!$A:$A,0)),""),IF($C$70="Website",IFERROR(INDEX(Website!$B:$B,MATCH($B192,Website!$A:$A,0)),""),IF($C$70="Airbnb",IFERROR(INDEX(Airbnb!$C:$C,MATCH($B192,Airbnb!$A:$A,0)),""),""))))</f>
        <v>0</v>
      </c>
      <c r="D192" s="1" t="n">
        <f aca="false">IF($C$70="Facebook",IFERROR(INDEX(Facebook!$E:$E,MATCH($B192,Facebook!$A:$A,0)),""),IF($C$70="Instagram",IFERROR(INDEX(Instagram!$E:$E,MATCH($B192,Instagram!$A:$A,0)),""),IF($C$70="Website",IFERROR(INDEX(Website!$F:$F,MATCH($B192,Website!$A:$A,0)),""),IF($C$70="Airbnb",IFERROR(INDEX(Airbnb!$E:$E,MATCH($B192,Airbnb!$A:$A,0)),""),""))))</f>
        <v>0</v>
      </c>
    </row>
    <row r="193" customFormat="false" ht="15" hidden="false" customHeight="true" outlineLevel="0" collapsed="false">
      <c r="B193" s="18" t="n">
        <f aca="false">Facebook!A123</f>
        <v>46500</v>
      </c>
      <c r="C193" s="1" t="n">
        <f aca="false">IF($C$70="Facebook",IFERROR(INDEX(Facebook!$F:$F,MATCH($B193,Facebook!$A:$A,0)),""),IF($C$70="Instagram",IFERROR(INDEX(Instagram!$F:$F,MATCH($B193,Instagram!$A:$A,0)),""),IF($C$70="Website",IFERROR(INDEX(Website!$B:$B,MATCH($B193,Website!$A:$A,0)),""),IF($C$70="Airbnb",IFERROR(INDEX(Airbnb!$C:$C,MATCH($B193,Airbnb!$A:$A,0)),""),""))))</f>
        <v>0</v>
      </c>
      <c r="D193" s="1" t="n">
        <f aca="false">IF($C$70="Facebook",IFERROR(INDEX(Facebook!$E:$E,MATCH($B193,Facebook!$A:$A,0)),""),IF($C$70="Instagram",IFERROR(INDEX(Instagram!$E:$E,MATCH($B193,Instagram!$A:$A,0)),""),IF($C$70="Website",IFERROR(INDEX(Website!$F:$F,MATCH($B193,Website!$A:$A,0)),""),IF($C$70="Airbnb",IFERROR(INDEX(Airbnb!$E:$E,MATCH($B193,Airbnb!$A:$A,0)),""),""))))</f>
        <v>0</v>
      </c>
    </row>
    <row r="194" customFormat="false" ht="15" hidden="false" customHeight="true" outlineLevel="0" collapsed="false">
      <c r="B194" s="18" t="n">
        <f aca="false">Facebook!A124</f>
        <v>46507</v>
      </c>
      <c r="C194" s="1" t="n">
        <f aca="false">IF($C$70="Facebook",IFERROR(INDEX(Facebook!$F:$F,MATCH($B194,Facebook!$A:$A,0)),""),IF($C$70="Instagram",IFERROR(INDEX(Instagram!$F:$F,MATCH($B194,Instagram!$A:$A,0)),""),IF($C$70="Website",IFERROR(INDEX(Website!$B:$B,MATCH($B194,Website!$A:$A,0)),""),IF($C$70="Airbnb",IFERROR(INDEX(Airbnb!$C:$C,MATCH($B194,Airbnb!$A:$A,0)),""),""))))</f>
        <v>0</v>
      </c>
      <c r="D194" s="1" t="n">
        <f aca="false">IF($C$70="Facebook",IFERROR(INDEX(Facebook!$E:$E,MATCH($B194,Facebook!$A:$A,0)),""),IF($C$70="Instagram",IFERROR(INDEX(Instagram!$E:$E,MATCH($B194,Instagram!$A:$A,0)),""),IF($C$70="Website",IFERROR(INDEX(Website!$F:$F,MATCH($B194,Website!$A:$A,0)),""),IF($C$70="Airbnb",IFERROR(INDEX(Airbnb!$E:$E,MATCH($B194,Airbnb!$A:$A,0)),""),""))))</f>
        <v>0</v>
      </c>
    </row>
    <row r="195" customFormat="false" ht="15" hidden="false" customHeight="true" outlineLevel="0" collapsed="false">
      <c r="B195" s="18" t="n">
        <f aca="false">Facebook!A125</f>
        <v>46514</v>
      </c>
      <c r="C195" s="1" t="n">
        <f aca="false">IF($C$70="Facebook",IFERROR(INDEX(Facebook!$F:$F,MATCH($B195,Facebook!$A:$A,0)),""),IF($C$70="Instagram",IFERROR(INDEX(Instagram!$F:$F,MATCH($B195,Instagram!$A:$A,0)),""),IF($C$70="Website",IFERROR(INDEX(Website!$B:$B,MATCH($B195,Website!$A:$A,0)),""),IF($C$70="Airbnb",IFERROR(INDEX(Airbnb!$C:$C,MATCH($B195,Airbnb!$A:$A,0)),""),""))))</f>
        <v>0</v>
      </c>
      <c r="D195" s="1" t="n">
        <f aca="false">IF($C$70="Facebook",IFERROR(INDEX(Facebook!$E:$E,MATCH($B195,Facebook!$A:$A,0)),""),IF($C$70="Instagram",IFERROR(INDEX(Instagram!$E:$E,MATCH($B195,Instagram!$A:$A,0)),""),IF($C$70="Website",IFERROR(INDEX(Website!$F:$F,MATCH($B195,Website!$A:$A,0)),""),IF($C$70="Airbnb",IFERROR(INDEX(Airbnb!$E:$E,MATCH($B195,Airbnb!$A:$A,0)),""),""))))</f>
        <v>0</v>
      </c>
    </row>
    <row r="196" customFormat="false" ht="15" hidden="false" customHeight="true" outlineLevel="0" collapsed="false">
      <c r="B196" s="18" t="n">
        <f aca="false">Facebook!A126</f>
        <v>46521</v>
      </c>
      <c r="C196" s="1" t="n">
        <f aca="false">IF($C$70="Facebook",IFERROR(INDEX(Facebook!$F:$F,MATCH($B196,Facebook!$A:$A,0)),""),IF($C$70="Instagram",IFERROR(INDEX(Instagram!$F:$F,MATCH($B196,Instagram!$A:$A,0)),""),IF($C$70="Website",IFERROR(INDEX(Website!$B:$B,MATCH($B196,Website!$A:$A,0)),""),IF($C$70="Airbnb",IFERROR(INDEX(Airbnb!$C:$C,MATCH($B196,Airbnb!$A:$A,0)),""),""))))</f>
        <v>0</v>
      </c>
      <c r="D196" s="1" t="n">
        <f aca="false">IF($C$70="Facebook",IFERROR(INDEX(Facebook!$E:$E,MATCH($B196,Facebook!$A:$A,0)),""),IF($C$70="Instagram",IFERROR(INDEX(Instagram!$E:$E,MATCH($B196,Instagram!$A:$A,0)),""),IF($C$70="Website",IFERROR(INDEX(Website!$F:$F,MATCH($B196,Website!$A:$A,0)),""),IF($C$70="Airbnb",IFERROR(INDEX(Airbnb!$E:$E,MATCH($B196,Airbnb!$A:$A,0)),""),""))))</f>
        <v>0</v>
      </c>
    </row>
    <row r="197" customFormat="false" ht="15" hidden="false" customHeight="true" outlineLevel="0" collapsed="false">
      <c r="B197" s="18" t="n">
        <f aca="false">Facebook!A127</f>
        <v>46528</v>
      </c>
      <c r="C197" s="1" t="n">
        <f aca="false">IF($C$70="Facebook",IFERROR(INDEX(Facebook!$F:$F,MATCH($B197,Facebook!$A:$A,0)),""),IF($C$70="Instagram",IFERROR(INDEX(Instagram!$F:$F,MATCH($B197,Instagram!$A:$A,0)),""),IF($C$70="Website",IFERROR(INDEX(Website!$B:$B,MATCH($B197,Website!$A:$A,0)),""),IF($C$70="Airbnb",IFERROR(INDEX(Airbnb!$C:$C,MATCH($B197,Airbnb!$A:$A,0)),""),""))))</f>
        <v>0</v>
      </c>
      <c r="D197" s="1" t="n">
        <f aca="false">IF($C$70="Facebook",IFERROR(INDEX(Facebook!$E:$E,MATCH($B197,Facebook!$A:$A,0)),""),IF($C$70="Instagram",IFERROR(INDEX(Instagram!$E:$E,MATCH($B197,Instagram!$A:$A,0)),""),IF($C$70="Website",IFERROR(INDEX(Website!$F:$F,MATCH($B197,Website!$A:$A,0)),""),IF($C$70="Airbnb",IFERROR(INDEX(Airbnb!$E:$E,MATCH($B197,Airbnb!$A:$A,0)),""),""))))</f>
        <v>0</v>
      </c>
    </row>
    <row r="198" customFormat="false" ht="15" hidden="false" customHeight="true" outlineLevel="0" collapsed="false">
      <c r="B198" s="18" t="n">
        <f aca="false">Facebook!A128</f>
        <v>46535</v>
      </c>
      <c r="C198" s="1" t="n">
        <f aca="false">IF($C$70="Facebook",IFERROR(INDEX(Facebook!$F:$F,MATCH($B198,Facebook!$A:$A,0)),""),IF($C$70="Instagram",IFERROR(INDEX(Instagram!$F:$F,MATCH($B198,Instagram!$A:$A,0)),""),IF($C$70="Website",IFERROR(INDEX(Website!$B:$B,MATCH($B198,Website!$A:$A,0)),""),IF($C$70="Airbnb",IFERROR(INDEX(Airbnb!$C:$C,MATCH($B198,Airbnb!$A:$A,0)),""),""))))</f>
        <v>0</v>
      </c>
      <c r="D198" s="1" t="n">
        <f aca="false">IF($C$70="Facebook",IFERROR(INDEX(Facebook!$E:$E,MATCH($B198,Facebook!$A:$A,0)),""),IF($C$70="Instagram",IFERROR(INDEX(Instagram!$E:$E,MATCH($B198,Instagram!$A:$A,0)),""),IF($C$70="Website",IFERROR(INDEX(Website!$F:$F,MATCH($B198,Website!$A:$A,0)),""),IF($C$70="Airbnb",IFERROR(INDEX(Airbnb!$E:$E,MATCH($B198,Airbnb!$A:$A,0)),""),""))))</f>
        <v>0</v>
      </c>
    </row>
    <row r="199" customFormat="false" ht="15" hidden="false" customHeight="true" outlineLevel="0" collapsed="false">
      <c r="B199" s="18" t="n">
        <f aca="false">Facebook!A129</f>
        <v>46542</v>
      </c>
      <c r="C199" s="1" t="n">
        <f aca="false">IF($C$70="Facebook",IFERROR(INDEX(Facebook!$F:$F,MATCH($B199,Facebook!$A:$A,0)),""),IF($C$70="Instagram",IFERROR(INDEX(Instagram!$F:$F,MATCH($B199,Instagram!$A:$A,0)),""),IF($C$70="Website",IFERROR(INDEX(Website!$B:$B,MATCH($B199,Website!$A:$A,0)),""),IF($C$70="Airbnb",IFERROR(INDEX(Airbnb!$C:$C,MATCH($B199,Airbnb!$A:$A,0)),""),""))))</f>
        <v>0</v>
      </c>
      <c r="D199" s="1" t="n">
        <f aca="false">IF($C$70="Facebook",IFERROR(INDEX(Facebook!$E:$E,MATCH($B199,Facebook!$A:$A,0)),""),IF($C$70="Instagram",IFERROR(INDEX(Instagram!$E:$E,MATCH($B199,Instagram!$A:$A,0)),""),IF($C$70="Website",IFERROR(INDEX(Website!$F:$F,MATCH($B199,Website!$A:$A,0)),""),IF($C$70="Airbnb",IFERROR(INDEX(Airbnb!$E:$E,MATCH($B199,Airbnb!$A:$A,0)),""),""))))</f>
        <v>0</v>
      </c>
    </row>
    <row r="200" customFormat="false" ht="15" hidden="false" customHeight="true" outlineLevel="0" collapsed="false">
      <c r="B200" s="18" t="n">
        <f aca="false">Facebook!A130</f>
        <v>46549</v>
      </c>
      <c r="C200" s="1" t="n">
        <f aca="false">IF($C$70="Facebook",IFERROR(INDEX(Facebook!$F:$F,MATCH($B200,Facebook!$A:$A,0)),""),IF($C$70="Instagram",IFERROR(INDEX(Instagram!$F:$F,MATCH($B200,Instagram!$A:$A,0)),""),IF($C$70="Website",IFERROR(INDEX(Website!$B:$B,MATCH($B200,Website!$A:$A,0)),""),IF($C$70="Airbnb",IFERROR(INDEX(Airbnb!$C:$C,MATCH($B200,Airbnb!$A:$A,0)),""),""))))</f>
        <v>0</v>
      </c>
      <c r="D200" s="1" t="n">
        <f aca="false">IF($C$70="Facebook",IFERROR(INDEX(Facebook!$E:$E,MATCH($B200,Facebook!$A:$A,0)),""),IF($C$70="Instagram",IFERROR(INDEX(Instagram!$E:$E,MATCH($B200,Instagram!$A:$A,0)),""),IF($C$70="Website",IFERROR(INDEX(Website!$F:$F,MATCH($B200,Website!$A:$A,0)),""),IF($C$70="Airbnb",IFERROR(INDEX(Airbnb!$E:$E,MATCH($B200,Airbnb!$A:$A,0)),""),""))))</f>
        <v>0</v>
      </c>
    </row>
    <row r="201" customFormat="false" ht="15" hidden="false" customHeight="true" outlineLevel="0" collapsed="false">
      <c r="B201" s="18" t="n">
        <f aca="false">Facebook!A131</f>
        <v>46556</v>
      </c>
      <c r="C201" s="1" t="n">
        <f aca="false">IF($C$70="Facebook",IFERROR(INDEX(Facebook!$F:$F,MATCH($B201,Facebook!$A:$A,0)),""),IF($C$70="Instagram",IFERROR(INDEX(Instagram!$F:$F,MATCH($B201,Instagram!$A:$A,0)),""),IF($C$70="Website",IFERROR(INDEX(Website!$B:$B,MATCH($B201,Website!$A:$A,0)),""),IF($C$70="Airbnb",IFERROR(INDEX(Airbnb!$C:$C,MATCH($B201,Airbnb!$A:$A,0)),""),""))))</f>
        <v>0</v>
      </c>
      <c r="D201" s="1" t="n">
        <f aca="false">IF($C$70="Facebook",IFERROR(INDEX(Facebook!$E:$E,MATCH($B201,Facebook!$A:$A,0)),""),IF($C$70="Instagram",IFERROR(INDEX(Instagram!$E:$E,MATCH($B201,Instagram!$A:$A,0)),""),IF($C$70="Website",IFERROR(INDEX(Website!$F:$F,MATCH($B201,Website!$A:$A,0)),""),IF($C$70="Airbnb",IFERROR(INDEX(Airbnb!$E:$E,MATCH($B201,Airbnb!$A:$A,0)),""),""))))</f>
        <v>0</v>
      </c>
    </row>
    <row r="202" customFormat="false" ht="15" hidden="false" customHeight="true" outlineLevel="0" collapsed="false">
      <c r="B202" s="18" t="n">
        <f aca="false">Facebook!A132</f>
        <v>46563</v>
      </c>
      <c r="C202" s="1" t="n">
        <f aca="false">IF($C$70="Facebook",IFERROR(INDEX(Facebook!$F:$F,MATCH($B202,Facebook!$A:$A,0)),""),IF($C$70="Instagram",IFERROR(INDEX(Instagram!$F:$F,MATCH($B202,Instagram!$A:$A,0)),""),IF($C$70="Website",IFERROR(INDEX(Website!$B:$B,MATCH($B202,Website!$A:$A,0)),""),IF($C$70="Airbnb",IFERROR(INDEX(Airbnb!$C:$C,MATCH($B202,Airbnb!$A:$A,0)),""),""))))</f>
        <v>0</v>
      </c>
      <c r="D202" s="1" t="n">
        <f aca="false">IF($C$70="Facebook",IFERROR(INDEX(Facebook!$E:$E,MATCH($B202,Facebook!$A:$A,0)),""),IF($C$70="Instagram",IFERROR(INDEX(Instagram!$E:$E,MATCH($B202,Instagram!$A:$A,0)),""),IF($C$70="Website",IFERROR(INDEX(Website!$F:$F,MATCH($B202,Website!$A:$A,0)),""),IF($C$70="Airbnb",IFERROR(INDEX(Airbnb!$E:$E,MATCH($B202,Airbnb!$A:$A,0)),""),""))))</f>
        <v>0</v>
      </c>
    </row>
    <row r="203" customFormat="false" ht="15" hidden="false" customHeight="true" outlineLevel="0" collapsed="false">
      <c r="B203" s="18" t="n">
        <f aca="false">Facebook!A133</f>
        <v>46570</v>
      </c>
      <c r="C203" s="1" t="n">
        <f aca="false">IF($C$70="Facebook",IFERROR(INDEX(Facebook!$F:$F,MATCH($B203,Facebook!$A:$A,0)),""),IF($C$70="Instagram",IFERROR(INDEX(Instagram!$F:$F,MATCH($B203,Instagram!$A:$A,0)),""),IF($C$70="Website",IFERROR(INDEX(Website!$B:$B,MATCH($B203,Website!$A:$A,0)),""),IF($C$70="Airbnb",IFERROR(INDEX(Airbnb!$C:$C,MATCH($B203,Airbnb!$A:$A,0)),""),""))))</f>
        <v>0</v>
      </c>
      <c r="D203" s="1" t="n">
        <f aca="false">IF($C$70="Facebook",IFERROR(INDEX(Facebook!$E:$E,MATCH($B203,Facebook!$A:$A,0)),""),IF($C$70="Instagram",IFERROR(INDEX(Instagram!$E:$E,MATCH($B203,Instagram!$A:$A,0)),""),IF($C$70="Website",IFERROR(INDEX(Website!$F:$F,MATCH($B203,Website!$A:$A,0)),""),IF($C$70="Airbnb",IFERROR(INDEX(Airbnb!$E:$E,MATCH($B203,Airbnb!$A:$A,0)),""),""))))</f>
        <v>0</v>
      </c>
    </row>
    <row r="204" customFormat="false" ht="15" hidden="false" customHeight="true" outlineLevel="0" collapsed="false">
      <c r="B204" s="18" t="n">
        <f aca="false">Facebook!A134</f>
        <v>46577</v>
      </c>
      <c r="C204" s="1" t="n">
        <f aca="false">IF($C$70="Facebook",IFERROR(INDEX(Facebook!$F:$F,MATCH($B204,Facebook!$A:$A,0)),""),IF($C$70="Instagram",IFERROR(INDEX(Instagram!$F:$F,MATCH($B204,Instagram!$A:$A,0)),""),IF($C$70="Website",IFERROR(INDEX(Website!$B:$B,MATCH($B204,Website!$A:$A,0)),""),IF($C$70="Airbnb",IFERROR(INDEX(Airbnb!$C:$C,MATCH($B204,Airbnb!$A:$A,0)),""),""))))</f>
        <v>0</v>
      </c>
      <c r="D204" s="1" t="n">
        <f aca="false">IF($C$70="Facebook",IFERROR(INDEX(Facebook!$E:$E,MATCH($B204,Facebook!$A:$A,0)),""),IF($C$70="Instagram",IFERROR(INDEX(Instagram!$E:$E,MATCH($B204,Instagram!$A:$A,0)),""),IF($C$70="Website",IFERROR(INDEX(Website!$F:$F,MATCH($B204,Website!$A:$A,0)),""),IF($C$70="Airbnb",IFERROR(INDEX(Airbnb!$E:$E,MATCH($B204,Airbnb!$A:$A,0)),""),""))))</f>
        <v>0</v>
      </c>
    </row>
    <row r="205" customFormat="false" ht="15" hidden="false" customHeight="true" outlineLevel="0" collapsed="false">
      <c r="B205" s="18" t="n">
        <f aca="false">Facebook!A135</f>
        <v>46584</v>
      </c>
      <c r="C205" s="1" t="n">
        <f aca="false">IF($C$70="Facebook",IFERROR(INDEX(Facebook!$F:$F,MATCH($B205,Facebook!$A:$A,0)),""),IF($C$70="Instagram",IFERROR(INDEX(Instagram!$F:$F,MATCH($B205,Instagram!$A:$A,0)),""),IF($C$70="Website",IFERROR(INDEX(Website!$B:$B,MATCH($B205,Website!$A:$A,0)),""),IF($C$70="Airbnb",IFERROR(INDEX(Airbnb!$C:$C,MATCH($B205,Airbnb!$A:$A,0)),""),""))))</f>
        <v>0</v>
      </c>
      <c r="D205" s="1" t="n">
        <f aca="false">IF($C$70="Facebook",IFERROR(INDEX(Facebook!$E:$E,MATCH($B205,Facebook!$A:$A,0)),""),IF($C$70="Instagram",IFERROR(INDEX(Instagram!$E:$E,MATCH($B205,Instagram!$A:$A,0)),""),IF($C$70="Website",IFERROR(INDEX(Website!$F:$F,MATCH($B205,Website!$A:$A,0)),""),IF($C$70="Airbnb",IFERROR(INDEX(Airbnb!$E:$E,MATCH($B205,Airbnb!$A:$A,0)),""),""))))</f>
        <v>0</v>
      </c>
    </row>
    <row r="206" customFormat="false" ht="15" hidden="false" customHeight="true" outlineLevel="0" collapsed="false">
      <c r="B206" s="18" t="n">
        <f aca="false">Facebook!A136</f>
        <v>46591</v>
      </c>
      <c r="C206" s="1" t="n">
        <f aca="false">IF($C$70="Facebook",IFERROR(INDEX(Facebook!$F:$F,MATCH($B206,Facebook!$A:$A,0)),""),IF($C$70="Instagram",IFERROR(INDEX(Instagram!$F:$F,MATCH($B206,Instagram!$A:$A,0)),""),IF($C$70="Website",IFERROR(INDEX(Website!$B:$B,MATCH($B206,Website!$A:$A,0)),""),IF($C$70="Airbnb",IFERROR(INDEX(Airbnb!$C:$C,MATCH($B206,Airbnb!$A:$A,0)),""),""))))</f>
        <v>0</v>
      </c>
      <c r="D206" s="1" t="n">
        <f aca="false">IF($C$70="Facebook",IFERROR(INDEX(Facebook!$E:$E,MATCH($B206,Facebook!$A:$A,0)),""),IF($C$70="Instagram",IFERROR(INDEX(Instagram!$E:$E,MATCH($B206,Instagram!$A:$A,0)),""),IF($C$70="Website",IFERROR(INDEX(Website!$F:$F,MATCH($B206,Website!$A:$A,0)),""),IF($C$70="Airbnb",IFERROR(INDEX(Airbnb!$E:$E,MATCH($B206,Airbnb!$A:$A,0)),""),""))))</f>
        <v>0</v>
      </c>
    </row>
    <row r="207" customFormat="false" ht="15" hidden="false" customHeight="true" outlineLevel="0" collapsed="false">
      <c r="B207" s="18" t="n">
        <f aca="false">Facebook!A137</f>
        <v>46598</v>
      </c>
      <c r="C207" s="1" t="n">
        <f aca="false">IF($C$70="Facebook",IFERROR(INDEX(Facebook!$F:$F,MATCH($B207,Facebook!$A:$A,0)),""),IF($C$70="Instagram",IFERROR(INDEX(Instagram!$F:$F,MATCH($B207,Instagram!$A:$A,0)),""),IF($C$70="Website",IFERROR(INDEX(Website!$B:$B,MATCH($B207,Website!$A:$A,0)),""),IF($C$70="Airbnb",IFERROR(INDEX(Airbnb!$C:$C,MATCH($B207,Airbnb!$A:$A,0)),""),""))))</f>
        <v>0</v>
      </c>
      <c r="D207" s="1" t="n">
        <f aca="false">IF($C$70="Facebook",IFERROR(INDEX(Facebook!$E:$E,MATCH($B207,Facebook!$A:$A,0)),""),IF($C$70="Instagram",IFERROR(INDEX(Instagram!$E:$E,MATCH($B207,Instagram!$A:$A,0)),""),IF($C$70="Website",IFERROR(INDEX(Website!$F:$F,MATCH($B207,Website!$A:$A,0)),""),IF($C$70="Airbnb",IFERROR(INDEX(Airbnb!$E:$E,MATCH($B207,Airbnb!$A:$A,0)),""),""))))</f>
        <v>0</v>
      </c>
    </row>
    <row r="208" customFormat="false" ht="15" hidden="false" customHeight="true" outlineLevel="0" collapsed="false">
      <c r="B208" s="18" t="n">
        <f aca="false">Facebook!A138</f>
        <v>46605</v>
      </c>
      <c r="C208" s="1" t="n">
        <f aca="false">IF($C$70="Facebook",IFERROR(INDEX(Facebook!$F:$F,MATCH($B208,Facebook!$A:$A,0)),""),IF($C$70="Instagram",IFERROR(INDEX(Instagram!$F:$F,MATCH($B208,Instagram!$A:$A,0)),""),IF($C$70="Website",IFERROR(INDEX(Website!$B:$B,MATCH($B208,Website!$A:$A,0)),""),IF($C$70="Airbnb",IFERROR(INDEX(Airbnb!$C:$C,MATCH($B208,Airbnb!$A:$A,0)),""),""))))</f>
        <v>0</v>
      </c>
      <c r="D208" s="1" t="n">
        <f aca="false">IF($C$70="Facebook",IFERROR(INDEX(Facebook!$E:$E,MATCH($B208,Facebook!$A:$A,0)),""),IF($C$70="Instagram",IFERROR(INDEX(Instagram!$E:$E,MATCH($B208,Instagram!$A:$A,0)),""),IF($C$70="Website",IFERROR(INDEX(Website!$F:$F,MATCH($B208,Website!$A:$A,0)),""),IF($C$70="Airbnb",IFERROR(INDEX(Airbnb!$E:$E,MATCH($B208,Airbnb!$A:$A,0)),""),""))))</f>
        <v>0</v>
      </c>
    </row>
    <row r="209" customFormat="false" ht="15" hidden="false" customHeight="true" outlineLevel="0" collapsed="false">
      <c r="B209" s="18" t="n">
        <f aca="false">Facebook!A139</f>
        <v>46612</v>
      </c>
      <c r="C209" s="1" t="n">
        <f aca="false">IF($C$70="Facebook",IFERROR(INDEX(Facebook!$F:$F,MATCH($B209,Facebook!$A:$A,0)),""),IF($C$70="Instagram",IFERROR(INDEX(Instagram!$F:$F,MATCH($B209,Instagram!$A:$A,0)),""),IF($C$70="Website",IFERROR(INDEX(Website!$B:$B,MATCH($B209,Website!$A:$A,0)),""),IF($C$70="Airbnb",IFERROR(INDEX(Airbnb!$C:$C,MATCH($B209,Airbnb!$A:$A,0)),""),""))))</f>
        <v>0</v>
      </c>
      <c r="D209" s="1" t="n">
        <f aca="false">IF($C$70="Facebook",IFERROR(INDEX(Facebook!$E:$E,MATCH($B209,Facebook!$A:$A,0)),""),IF($C$70="Instagram",IFERROR(INDEX(Instagram!$E:$E,MATCH($B209,Instagram!$A:$A,0)),""),IF($C$70="Website",IFERROR(INDEX(Website!$F:$F,MATCH($B209,Website!$A:$A,0)),""),IF($C$70="Airbnb",IFERROR(INDEX(Airbnb!$E:$E,MATCH($B209,Airbnb!$A:$A,0)),""),""))))</f>
        <v>0</v>
      </c>
    </row>
    <row r="210" customFormat="false" ht="15" hidden="false" customHeight="true" outlineLevel="0" collapsed="false">
      <c r="B210" s="18" t="n">
        <f aca="false">Facebook!A140</f>
        <v>46619</v>
      </c>
      <c r="C210" s="1" t="n">
        <f aca="false">IF($C$70="Facebook",IFERROR(INDEX(Facebook!$F:$F,MATCH($B210,Facebook!$A:$A,0)),""),IF($C$70="Instagram",IFERROR(INDEX(Instagram!$F:$F,MATCH($B210,Instagram!$A:$A,0)),""),IF($C$70="Website",IFERROR(INDEX(Website!$B:$B,MATCH($B210,Website!$A:$A,0)),""),IF($C$70="Airbnb",IFERROR(INDEX(Airbnb!$C:$C,MATCH($B210,Airbnb!$A:$A,0)),""),""))))</f>
        <v>0</v>
      </c>
      <c r="D210" s="1" t="n">
        <f aca="false">IF($C$70="Facebook",IFERROR(INDEX(Facebook!$E:$E,MATCH($B210,Facebook!$A:$A,0)),""),IF($C$70="Instagram",IFERROR(INDEX(Instagram!$E:$E,MATCH($B210,Instagram!$A:$A,0)),""),IF($C$70="Website",IFERROR(INDEX(Website!$F:$F,MATCH($B210,Website!$A:$A,0)),""),IF($C$70="Airbnb",IFERROR(INDEX(Airbnb!$E:$E,MATCH($B210,Airbnb!$A:$A,0)),""),""))))</f>
        <v>0</v>
      </c>
    </row>
    <row r="211" customFormat="false" ht="15" hidden="false" customHeight="true" outlineLevel="0" collapsed="false">
      <c r="B211" s="18" t="n">
        <f aca="false">Facebook!A141</f>
        <v>46626</v>
      </c>
      <c r="C211" s="1" t="n">
        <f aca="false">IF($C$70="Facebook",IFERROR(INDEX(Facebook!$F:$F,MATCH($B211,Facebook!$A:$A,0)),""),IF($C$70="Instagram",IFERROR(INDEX(Instagram!$F:$F,MATCH($B211,Instagram!$A:$A,0)),""),IF($C$70="Website",IFERROR(INDEX(Website!$B:$B,MATCH($B211,Website!$A:$A,0)),""),IF($C$70="Airbnb",IFERROR(INDEX(Airbnb!$C:$C,MATCH($B211,Airbnb!$A:$A,0)),""),""))))</f>
        <v>0</v>
      </c>
      <c r="D211" s="1" t="n">
        <f aca="false">IF($C$70="Facebook",IFERROR(INDEX(Facebook!$E:$E,MATCH($B211,Facebook!$A:$A,0)),""),IF($C$70="Instagram",IFERROR(INDEX(Instagram!$E:$E,MATCH($B211,Instagram!$A:$A,0)),""),IF($C$70="Website",IFERROR(INDEX(Website!$F:$F,MATCH($B211,Website!$A:$A,0)),""),IF($C$70="Airbnb",IFERROR(INDEX(Airbnb!$E:$E,MATCH($B211,Airbnb!$A:$A,0)),""),""))))</f>
        <v>0</v>
      </c>
    </row>
    <row r="212" customFormat="false" ht="15" hidden="false" customHeight="true" outlineLevel="0" collapsed="false">
      <c r="B212" s="18" t="n">
        <f aca="false">Facebook!A142</f>
        <v>46633</v>
      </c>
      <c r="C212" s="1" t="n">
        <f aca="false">IF($C$70="Facebook",IFERROR(INDEX(Facebook!$F:$F,MATCH($B212,Facebook!$A:$A,0)),""),IF($C$70="Instagram",IFERROR(INDEX(Instagram!$F:$F,MATCH($B212,Instagram!$A:$A,0)),""),IF($C$70="Website",IFERROR(INDEX(Website!$B:$B,MATCH($B212,Website!$A:$A,0)),""),IF($C$70="Airbnb",IFERROR(INDEX(Airbnb!$C:$C,MATCH($B212,Airbnb!$A:$A,0)),""),""))))</f>
        <v>0</v>
      </c>
      <c r="D212" s="1" t="n">
        <f aca="false">IF($C$70="Facebook",IFERROR(INDEX(Facebook!$E:$E,MATCH($B212,Facebook!$A:$A,0)),""),IF($C$70="Instagram",IFERROR(INDEX(Instagram!$E:$E,MATCH($B212,Instagram!$A:$A,0)),""),IF($C$70="Website",IFERROR(INDEX(Website!$F:$F,MATCH($B212,Website!$A:$A,0)),""),IF($C$70="Airbnb",IFERROR(INDEX(Airbnb!$E:$E,MATCH($B212,Airbnb!$A:$A,0)),""),""))))</f>
        <v>0</v>
      </c>
    </row>
    <row r="213" customFormat="false" ht="15" hidden="false" customHeight="true" outlineLevel="0" collapsed="false">
      <c r="B213" s="18" t="n">
        <f aca="false">Facebook!A143</f>
        <v>46640</v>
      </c>
      <c r="C213" s="1" t="n">
        <f aca="false">IF($C$70="Facebook",IFERROR(INDEX(Facebook!$F:$F,MATCH($B213,Facebook!$A:$A,0)),""),IF($C$70="Instagram",IFERROR(INDEX(Instagram!$F:$F,MATCH($B213,Instagram!$A:$A,0)),""),IF($C$70="Website",IFERROR(INDEX(Website!$B:$B,MATCH($B213,Website!$A:$A,0)),""),IF($C$70="Airbnb",IFERROR(INDEX(Airbnb!$C:$C,MATCH($B213,Airbnb!$A:$A,0)),""),""))))</f>
        <v>0</v>
      </c>
      <c r="D213" s="1" t="n">
        <f aca="false">IF($C$70="Facebook",IFERROR(INDEX(Facebook!$E:$E,MATCH($B213,Facebook!$A:$A,0)),""),IF($C$70="Instagram",IFERROR(INDEX(Instagram!$E:$E,MATCH($B213,Instagram!$A:$A,0)),""),IF($C$70="Website",IFERROR(INDEX(Website!$F:$F,MATCH($B213,Website!$A:$A,0)),""),IF($C$70="Airbnb",IFERROR(INDEX(Airbnb!$E:$E,MATCH($B213,Airbnb!$A:$A,0)),""),""))))</f>
        <v>0</v>
      </c>
    </row>
    <row r="214" customFormat="false" ht="15" hidden="false" customHeight="true" outlineLevel="0" collapsed="false">
      <c r="B214" s="18" t="n">
        <f aca="false">Facebook!A144</f>
        <v>46647</v>
      </c>
      <c r="C214" s="1" t="n">
        <f aca="false">IF($C$70="Facebook",IFERROR(INDEX(Facebook!$F:$F,MATCH($B214,Facebook!$A:$A,0)),""),IF($C$70="Instagram",IFERROR(INDEX(Instagram!$F:$F,MATCH($B214,Instagram!$A:$A,0)),""),IF($C$70="Website",IFERROR(INDEX(Website!$B:$B,MATCH($B214,Website!$A:$A,0)),""),IF($C$70="Airbnb",IFERROR(INDEX(Airbnb!$C:$C,MATCH($B214,Airbnb!$A:$A,0)),""),""))))</f>
        <v>0</v>
      </c>
      <c r="D214" s="1" t="n">
        <f aca="false">IF($C$70="Facebook",IFERROR(INDEX(Facebook!$E:$E,MATCH($B214,Facebook!$A:$A,0)),""),IF($C$70="Instagram",IFERROR(INDEX(Instagram!$E:$E,MATCH($B214,Instagram!$A:$A,0)),""),IF($C$70="Website",IFERROR(INDEX(Website!$F:$F,MATCH($B214,Website!$A:$A,0)),""),IF($C$70="Airbnb",IFERROR(INDEX(Airbnb!$E:$E,MATCH($B214,Airbnb!$A:$A,0)),""),""))))</f>
        <v>0</v>
      </c>
    </row>
    <row r="215" customFormat="false" ht="15" hidden="false" customHeight="true" outlineLevel="0" collapsed="false">
      <c r="B215" s="18" t="n">
        <f aca="false">Facebook!A145</f>
        <v>46654</v>
      </c>
      <c r="C215" s="1" t="n">
        <f aca="false">IF($C$70="Facebook",IFERROR(INDEX(Facebook!$F:$F,MATCH($B215,Facebook!$A:$A,0)),""),IF($C$70="Instagram",IFERROR(INDEX(Instagram!$F:$F,MATCH($B215,Instagram!$A:$A,0)),""),IF($C$70="Website",IFERROR(INDEX(Website!$B:$B,MATCH($B215,Website!$A:$A,0)),""),IF($C$70="Airbnb",IFERROR(INDEX(Airbnb!$C:$C,MATCH($B215,Airbnb!$A:$A,0)),""),""))))</f>
        <v>0</v>
      </c>
      <c r="D215" s="1" t="n">
        <f aca="false">IF($C$70="Facebook",IFERROR(INDEX(Facebook!$E:$E,MATCH($B215,Facebook!$A:$A,0)),""),IF($C$70="Instagram",IFERROR(INDEX(Instagram!$E:$E,MATCH($B215,Instagram!$A:$A,0)),""),IF($C$70="Website",IFERROR(INDEX(Website!$F:$F,MATCH($B215,Website!$A:$A,0)),""),IF($C$70="Airbnb",IFERROR(INDEX(Airbnb!$E:$E,MATCH($B215,Airbnb!$A:$A,0)),""),""))))</f>
        <v>0</v>
      </c>
    </row>
    <row r="216" customFormat="false" ht="15" hidden="false" customHeight="true" outlineLevel="0" collapsed="false">
      <c r="B216" s="18" t="n">
        <f aca="false">Facebook!A146</f>
        <v>46661</v>
      </c>
      <c r="C216" s="1" t="n">
        <f aca="false">IF($C$70="Facebook",IFERROR(INDEX(Facebook!$F:$F,MATCH($B216,Facebook!$A:$A,0)),""),IF($C$70="Instagram",IFERROR(INDEX(Instagram!$F:$F,MATCH($B216,Instagram!$A:$A,0)),""),IF($C$70="Website",IFERROR(INDEX(Website!$B:$B,MATCH($B216,Website!$A:$A,0)),""),IF($C$70="Airbnb",IFERROR(INDEX(Airbnb!$C:$C,MATCH($B216,Airbnb!$A:$A,0)),""),""))))</f>
        <v>0</v>
      </c>
      <c r="D216" s="1" t="n">
        <f aca="false">IF($C$70="Facebook",IFERROR(INDEX(Facebook!$E:$E,MATCH($B216,Facebook!$A:$A,0)),""),IF($C$70="Instagram",IFERROR(INDEX(Instagram!$E:$E,MATCH($B216,Instagram!$A:$A,0)),""),IF($C$70="Website",IFERROR(INDEX(Website!$F:$F,MATCH($B216,Website!$A:$A,0)),""),IF($C$70="Airbnb",IFERROR(INDEX(Airbnb!$E:$E,MATCH($B216,Airbnb!$A:$A,0)),""),""))))</f>
        <v>0</v>
      </c>
    </row>
    <row r="217" customFormat="false" ht="15" hidden="false" customHeight="true" outlineLevel="0" collapsed="false">
      <c r="B217" s="18" t="n">
        <f aca="false">Facebook!A147</f>
        <v>46668</v>
      </c>
      <c r="C217" s="1" t="n">
        <f aca="false">IF($C$70="Facebook",IFERROR(INDEX(Facebook!$F:$F,MATCH($B217,Facebook!$A:$A,0)),""),IF($C$70="Instagram",IFERROR(INDEX(Instagram!$F:$F,MATCH($B217,Instagram!$A:$A,0)),""),IF($C$70="Website",IFERROR(INDEX(Website!$B:$B,MATCH($B217,Website!$A:$A,0)),""),IF($C$70="Airbnb",IFERROR(INDEX(Airbnb!$C:$C,MATCH($B217,Airbnb!$A:$A,0)),""),""))))</f>
        <v>0</v>
      </c>
      <c r="D217" s="1" t="n">
        <f aca="false">IF($C$70="Facebook",IFERROR(INDEX(Facebook!$E:$E,MATCH($B217,Facebook!$A:$A,0)),""),IF($C$70="Instagram",IFERROR(INDEX(Instagram!$E:$E,MATCH($B217,Instagram!$A:$A,0)),""),IF($C$70="Website",IFERROR(INDEX(Website!$F:$F,MATCH($B217,Website!$A:$A,0)),""),IF($C$70="Airbnb",IFERROR(INDEX(Airbnb!$E:$E,MATCH($B217,Airbnb!$A:$A,0)),""),""))))</f>
        <v>0</v>
      </c>
    </row>
    <row r="218" customFormat="false" ht="15" hidden="false" customHeight="true" outlineLevel="0" collapsed="false">
      <c r="B218" s="18" t="n">
        <f aca="false">Facebook!A148</f>
        <v>46675</v>
      </c>
      <c r="C218" s="1" t="n">
        <f aca="false">IF($C$70="Facebook",IFERROR(INDEX(Facebook!$F:$F,MATCH($B218,Facebook!$A:$A,0)),""),IF($C$70="Instagram",IFERROR(INDEX(Instagram!$F:$F,MATCH($B218,Instagram!$A:$A,0)),""),IF($C$70="Website",IFERROR(INDEX(Website!$B:$B,MATCH($B218,Website!$A:$A,0)),""),IF($C$70="Airbnb",IFERROR(INDEX(Airbnb!$C:$C,MATCH($B218,Airbnb!$A:$A,0)),""),""))))</f>
        <v>0</v>
      </c>
      <c r="D218" s="1" t="n">
        <f aca="false">IF($C$70="Facebook",IFERROR(INDEX(Facebook!$E:$E,MATCH($B218,Facebook!$A:$A,0)),""),IF($C$70="Instagram",IFERROR(INDEX(Instagram!$E:$E,MATCH($B218,Instagram!$A:$A,0)),""),IF($C$70="Website",IFERROR(INDEX(Website!$F:$F,MATCH($B218,Website!$A:$A,0)),""),IF($C$70="Airbnb",IFERROR(INDEX(Airbnb!$E:$E,MATCH($B218,Airbnb!$A:$A,0)),""),""))))</f>
        <v>0</v>
      </c>
    </row>
    <row r="219" customFormat="false" ht="15" hidden="false" customHeight="true" outlineLevel="0" collapsed="false">
      <c r="B219" s="18" t="n">
        <f aca="false">Facebook!A149</f>
        <v>46682</v>
      </c>
      <c r="C219" s="1" t="n">
        <f aca="false">IF($C$70="Facebook",IFERROR(INDEX(Facebook!$F:$F,MATCH($B219,Facebook!$A:$A,0)),""),IF($C$70="Instagram",IFERROR(INDEX(Instagram!$F:$F,MATCH($B219,Instagram!$A:$A,0)),""),IF($C$70="Website",IFERROR(INDEX(Website!$B:$B,MATCH($B219,Website!$A:$A,0)),""),IF($C$70="Airbnb",IFERROR(INDEX(Airbnb!$C:$C,MATCH($B219,Airbnb!$A:$A,0)),""),""))))</f>
        <v>0</v>
      </c>
      <c r="D219" s="1" t="n">
        <f aca="false">IF($C$70="Facebook",IFERROR(INDEX(Facebook!$E:$E,MATCH($B219,Facebook!$A:$A,0)),""),IF($C$70="Instagram",IFERROR(INDEX(Instagram!$E:$E,MATCH($B219,Instagram!$A:$A,0)),""),IF($C$70="Website",IFERROR(INDEX(Website!$F:$F,MATCH($B219,Website!$A:$A,0)),""),IF($C$70="Airbnb",IFERROR(INDEX(Airbnb!$E:$E,MATCH($B219,Airbnb!$A:$A,0)),""),""))))</f>
        <v>0</v>
      </c>
    </row>
    <row r="220" customFormat="false" ht="15" hidden="false" customHeight="true" outlineLevel="0" collapsed="false">
      <c r="B220" s="18" t="n">
        <f aca="false">Facebook!A150</f>
        <v>46689</v>
      </c>
      <c r="C220" s="1" t="n">
        <f aca="false">IF($C$70="Facebook",IFERROR(INDEX(Facebook!$F:$F,MATCH($B220,Facebook!$A:$A,0)),""),IF($C$70="Instagram",IFERROR(INDEX(Instagram!$F:$F,MATCH($B220,Instagram!$A:$A,0)),""),IF($C$70="Website",IFERROR(INDEX(Website!$B:$B,MATCH($B220,Website!$A:$A,0)),""),IF($C$70="Airbnb",IFERROR(INDEX(Airbnb!$C:$C,MATCH($B220,Airbnb!$A:$A,0)),""),""))))</f>
        <v>0</v>
      </c>
      <c r="D220" s="1" t="n">
        <f aca="false">IF($C$70="Facebook",IFERROR(INDEX(Facebook!$E:$E,MATCH($B220,Facebook!$A:$A,0)),""),IF($C$70="Instagram",IFERROR(INDEX(Instagram!$E:$E,MATCH($B220,Instagram!$A:$A,0)),""),IF($C$70="Website",IFERROR(INDEX(Website!$F:$F,MATCH($B220,Website!$A:$A,0)),""),IF($C$70="Airbnb",IFERROR(INDEX(Airbnb!$E:$E,MATCH($B220,Airbnb!$A:$A,0)),""),""))))</f>
        <v>0</v>
      </c>
    </row>
    <row r="221" customFormat="false" ht="15" hidden="false" customHeight="true" outlineLevel="0" collapsed="false">
      <c r="B221" s="18" t="n">
        <f aca="false">Facebook!A151</f>
        <v>46696</v>
      </c>
      <c r="C221" s="1" t="n">
        <f aca="false">IF($C$70="Facebook",IFERROR(INDEX(Facebook!$F:$F,MATCH($B221,Facebook!$A:$A,0)),""),IF($C$70="Instagram",IFERROR(INDEX(Instagram!$F:$F,MATCH($B221,Instagram!$A:$A,0)),""),IF($C$70="Website",IFERROR(INDEX(Website!$B:$B,MATCH($B221,Website!$A:$A,0)),""),IF($C$70="Airbnb",IFERROR(INDEX(Airbnb!$C:$C,MATCH($B221,Airbnb!$A:$A,0)),""),""))))</f>
        <v>0</v>
      </c>
      <c r="D221" s="1" t="n">
        <f aca="false">IF($C$70="Facebook",IFERROR(INDEX(Facebook!$E:$E,MATCH($B221,Facebook!$A:$A,0)),""),IF($C$70="Instagram",IFERROR(INDEX(Instagram!$E:$E,MATCH($B221,Instagram!$A:$A,0)),""),IF($C$70="Website",IFERROR(INDEX(Website!$F:$F,MATCH($B221,Website!$A:$A,0)),""),IF($C$70="Airbnb",IFERROR(INDEX(Airbnb!$E:$E,MATCH($B221,Airbnb!$A:$A,0)),""),""))))</f>
        <v>0</v>
      </c>
    </row>
    <row r="222" customFormat="false" ht="15" hidden="false" customHeight="true" outlineLevel="0" collapsed="false">
      <c r="B222" s="18" t="n">
        <f aca="false">Facebook!A152</f>
        <v>46703</v>
      </c>
      <c r="C222" s="1" t="n">
        <f aca="false">IF($C$70="Facebook",IFERROR(INDEX(Facebook!$F:$F,MATCH($B222,Facebook!$A:$A,0)),""),IF($C$70="Instagram",IFERROR(INDEX(Instagram!$F:$F,MATCH($B222,Instagram!$A:$A,0)),""),IF($C$70="Website",IFERROR(INDEX(Website!$B:$B,MATCH($B222,Website!$A:$A,0)),""),IF($C$70="Airbnb",IFERROR(INDEX(Airbnb!$C:$C,MATCH($B222,Airbnb!$A:$A,0)),""),""))))</f>
        <v>0</v>
      </c>
      <c r="D222" s="1" t="n">
        <f aca="false">IF($C$70="Facebook",IFERROR(INDEX(Facebook!$E:$E,MATCH($B222,Facebook!$A:$A,0)),""),IF($C$70="Instagram",IFERROR(INDEX(Instagram!$E:$E,MATCH($B222,Instagram!$A:$A,0)),""),IF($C$70="Website",IFERROR(INDEX(Website!$F:$F,MATCH($B222,Website!$A:$A,0)),""),IF($C$70="Airbnb",IFERROR(INDEX(Airbnb!$E:$E,MATCH($B222,Airbnb!$A:$A,0)),""),""))))</f>
        <v>0</v>
      </c>
    </row>
    <row r="223" customFormat="false" ht="15" hidden="false" customHeight="true" outlineLevel="0" collapsed="false">
      <c r="B223" s="18" t="n">
        <f aca="false">Facebook!A153</f>
        <v>46710</v>
      </c>
      <c r="C223" s="1" t="n">
        <f aca="false">IF($C$70="Facebook",IFERROR(INDEX(Facebook!$F:$F,MATCH($B223,Facebook!$A:$A,0)),""),IF($C$70="Instagram",IFERROR(INDEX(Instagram!$F:$F,MATCH($B223,Instagram!$A:$A,0)),""),IF($C$70="Website",IFERROR(INDEX(Website!$B:$B,MATCH($B223,Website!$A:$A,0)),""),IF($C$70="Airbnb",IFERROR(INDEX(Airbnb!$C:$C,MATCH($B223,Airbnb!$A:$A,0)),""),""))))</f>
        <v>0</v>
      </c>
      <c r="D223" s="1" t="n">
        <f aca="false">IF($C$70="Facebook",IFERROR(INDEX(Facebook!$E:$E,MATCH($B223,Facebook!$A:$A,0)),""),IF($C$70="Instagram",IFERROR(INDEX(Instagram!$E:$E,MATCH($B223,Instagram!$A:$A,0)),""),IF($C$70="Website",IFERROR(INDEX(Website!$F:$F,MATCH($B223,Website!$A:$A,0)),""),IF($C$70="Airbnb",IFERROR(INDEX(Airbnb!$E:$E,MATCH($B223,Airbnb!$A:$A,0)),""),""))))</f>
        <v>0</v>
      </c>
    </row>
    <row r="224" customFormat="false" ht="15" hidden="false" customHeight="true" outlineLevel="0" collapsed="false">
      <c r="B224" s="18" t="n">
        <f aca="false">Facebook!A154</f>
        <v>46717</v>
      </c>
      <c r="C224" s="1" t="n">
        <f aca="false">IF($C$70="Facebook",IFERROR(INDEX(Facebook!$F:$F,MATCH($B224,Facebook!$A:$A,0)),""),IF($C$70="Instagram",IFERROR(INDEX(Instagram!$F:$F,MATCH($B224,Instagram!$A:$A,0)),""),IF($C$70="Website",IFERROR(INDEX(Website!$B:$B,MATCH($B224,Website!$A:$A,0)),""),IF($C$70="Airbnb",IFERROR(INDEX(Airbnb!$C:$C,MATCH($B224,Airbnb!$A:$A,0)),""),""))))</f>
        <v>0</v>
      </c>
      <c r="D224" s="1" t="n">
        <f aca="false">IF($C$70="Facebook",IFERROR(INDEX(Facebook!$E:$E,MATCH($B224,Facebook!$A:$A,0)),""),IF($C$70="Instagram",IFERROR(INDEX(Instagram!$E:$E,MATCH($B224,Instagram!$A:$A,0)),""),IF($C$70="Website",IFERROR(INDEX(Website!$F:$F,MATCH($B224,Website!$A:$A,0)),""),IF($C$70="Airbnb",IFERROR(INDEX(Airbnb!$E:$E,MATCH($B224,Airbnb!$A:$A,0)),""),""))))</f>
        <v>0</v>
      </c>
    </row>
    <row r="225" customFormat="false" ht="15" hidden="false" customHeight="true" outlineLevel="0" collapsed="false">
      <c r="B225" s="18" t="n">
        <f aca="false">Facebook!A155</f>
        <v>46724</v>
      </c>
      <c r="C225" s="1" t="n">
        <f aca="false">IF($C$70="Facebook",IFERROR(INDEX(Facebook!$F:$F,MATCH($B225,Facebook!$A:$A,0)),""),IF($C$70="Instagram",IFERROR(INDEX(Instagram!$F:$F,MATCH($B225,Instagram!$A:$A,0)),""),IF($C$70="Website",IFERROR(INDEX(Website!$B:$B,MATCH($B225,Website!$A:$A,0)),""),IF($C$70="Airbnb",IFERROR(INDEX(Airbnb!$C:$C,MATCH($B225,Airbnb!$A:$A,0)),""),""))))</f>
        <v>0</v>
      </c>
      <c r="D225" s="1" t="n">
        <f aca="false">IF($C$70="Facebook",IFERROR(INDEX(Facebook!$E:$E,MATCH($B225,Facebook!$A:$A,0)),""),IF($C$70="Instagram",IFERROR(INDEX(Instagram!$E:$E,MATCH($B225,Instagram!$A:$A,0)),""),IF($C$70="Website",IFERROR(INDEX(Website!$F:$F,MATCH($B225,Website!$A:$A,0)),""),IF($C$70="Airbnb",IFERROR(INDEX(Airbnb!$E:$E,MATCH($B225,Airbnb!$A:$A,0)),""),""))))</f>
        <v>0</v>
      </c>
    </row>
    <row r="226" customFormat="false" ht="15" hidden="false" customHeight="true" outlineLevel="0" collapsed="false">
      <c r="B226" s="18" t="n">
        <f aca="false">Facebook!A156</f>
        <v>46731</v>
      </c>
      <c r="C226" s="1" t="n">
        <f aca="false">IF($C$70="Facebook",IFERROR(INDEX(Facebook!$F:$F,MATCH($B226,Facebook!$A:$A,0)),""),IF($C$70="Instagram",IFERROR(INDEX(Instagram!$F:$F,MATCH($B226,Instagram!$A:$A,0)),""),IF($C$70="Website",IFERROR(INDEX(Website!$B:$B,MATCH($B226,Website!$A:$A,0)),""),IF($C$70="Airbnb",IFERROR(INDEX(Airbnb!$C:$C,MATCH($B226,Airbnb!$A:$A,0)),""),""))))</f>
        <v>0</v>
      </c>
      <c r="D226" s="1" t="n">
        <f aca="false">IF($C$70="Facebook",IFERROR(INDEX(Facebook!$E:$E,MATCH($B226,Facebook!$A:$A,0)),""),IF($C$70="Instagram",IFERROR(INDEX(Instagram!$E:$E,MATCH($B226,Instagram!$A:$A,0)),""),IF($C$70="Website",IFERROR(INDEX(Website!$F:$F,MATCH($B226,Website!$A:$A,0)),""),IF($C$70="Airbnb",IFERROR(INDEX(Airbnb!$E:$E,MATCH($B226,Airbnb!$A:$A,0)),""),""))))</f>
        <v>0</v>
      </c>
    </row>
    <row r="227" customFormat="false" ht="15" hidden="false" customHeight="true" outlineLevel="0" collapsed="false">
      <c r="B227" s="18" t="n">
        <f aca="false">Facebook!A157</f>
        <v>46738</v>
      </c>
      <c r="C227" s="1" t="n">
        <f aca="false">IF($C$70="Facebook",IFERROR(INDEX(Facebook!$F:$F,MATCH($B227,Facebook!$A:$A,0)),""),IF($C$70="Instagram",IFERROR(INDEX(Instagram!$F:$F,MATCH($B227,Instagram!$A:$A,0)),""),IF($C$70="Website",IFERROR(INDEX(Website!$B:$B,MATCH($B227,Website!$A:$A,0)),""),IF($C$70="Airbnb",IFERROR(INDEX(Airbnb!$C:$C,MATCH($B227,Airbnb!$A:$A,0)),""),""))))</f>
        <v>0</v>
      </c>
      <c r="D227" s="1" t="n">
        <f aca="false">IF($C$70="Facebook",IFERROR(INDEX(Facebook!$E:$E,MATCH($B227,Facebook!$A:$A,0)),""),IF($C$70="Instagram",IFERROR(INDEX(Instagram!$E:$E,MATCH($B227,Instagram!$A:$A,0)),""),IF($C$70="Website",IFERROR(INDEX(Website!$F:$F,MATCH($B227,Website!$A:$A,0)),""),IF($C$70="Airbnb",IFERROR(INDEX(Airbnb!$E:$E,MATCH($B227,Airbnb!$A:$A,0)),""),""))))</f>
        <v>0</v>
      </c>
    </row>
    <row r="228" customFormat="false" ht="15" hidden="false" customHeight="true" outlineLevel="0" collapsed="false">
      <c r="B228" s="18" t="n">
        <f aca="false">Facebook!A158</f>
        <v>46745</v>
      </c>
      <c r="C228" s="1" t="n">
        <f aca="false">IF($C$70="Facebook",IFERROR(INDEX(Facebook!$F:$F,MATCH($B228,Facebook!$A:$A,0)),""),IF($C$70="Instagram",IFERROR(INDEX(Instagram!$F:$F,MATCH($B228,Instagram!$A:$A,0)),""),IF($C$70="Website",IFERROR(INDEX(Website!$B:$B,MATCH($B228,Website!$A:$A,0)),""),IF($C$70="Airbnb",IFERROR(INDEX(Airbnb!$C:$C,MATCH($B228,Airbnb!$A:$A,0)),""),""))))</f>
        <v>0</v>
      </c>
      <c r="D228" s="1" t="n">
        <f aca="false">IF($C$70="Facebook",IFERROR(INDEX(Facebook!$E:$E,MATCH($B228,Facebook!$A:$A,0)),""),IF($C$70="Instagram",IFERROR(INDEX(Instagram!$E:$E,MATCH($B228,Instagram!$A:$A,0)),""),IF($C$70="Website",IFERROR(INDEX(Website!$F:$F,MATCH($B228,Website!$A:$A,0)),""),IF($C$70="Airbnb",IFERROR(INDEX(Airbnb!$E:$E,MATCH($B228,Airbnb!$A:$A,0)),""),""))))</f>
        <v>0</v>
      </c>
    </row>
    <row r="229" customFormat="false" ht="15" hidden="false" customHeight="true" outlineLevel="0" collapsed="false">
      <c r="B229" s="18" t="n">
        <f aca="false">Facebook!A159</f>
        <v>46752</v>
      </c>
      <c r="C229" s="1" t="n">
        <f aca="false">IF($C$70="Facebook",IFERROR(INDEX(Facebook!$F:$F,MATCH($B229,Facebook!$A:$A,0)),""),IF($C$70="Instagram",IFERROR(INDEX(Instagram!$F:$F,MATCH($B229,Instagram!$A:$A,0)),""),IF($C$70="Website",IFERROR(INDEX(Website!$B:$B,MATCH($B229,Website!$A:$A,0)),""),IF($C$70="Airbnb",IFERROR(INDEX(Airbnb!$C:$C,MATCH($B229,Airbnb!$A:$A,0)),""),""))))</f>
        <v>0</v>
      </c>
      <c r="D229" s="1" t="n">
        <f aca="false">IF($C$70="Facebook",IFERROR(INDEX(Facebook!$E:$E,MATCH($B229,Facebook!$A:$A,0)),""),IF($C$70="Instagram",IFERROR(INDEX(Instagram!$E:$E,MATCH($B229,Instagram!$A:$A,0)),""),IF($C$70="Website",IFERROR(INDEX(Website!$F:$F,MATCH($B229,Website!$A:$A,0)),""),IF($C$70="Airbnb",IFERROR(INDEX(Airbnb!$E:$E,MATCH($B229,Airbnb!$A:$A,0)),""),""))))</f>
        <v>0</v>
      </c>
    </row>
  </sheetData>
  <mergeCells count="14">
    <mergeCell ref="B2:S3"/>
    <mergeCell ref="B4:S4"/>
    <mergeCell ref="B6:D7"/>
    <mergeCell ref="E6:G7"/>
    <mergeCell ref="H6:J7"/>
    <mergeCell ref="K6:M7"/>
    <mergeCell ref="N6:P7"/>
    <mergeCell ref="Q6:S7"/>
    <mergeCell ref="B8:D9"/>
    <mergeCell ref="E8:G9"/>
    <mergeCell ref="H8:J9"/>
    <mergeCell ref="K8:M9"/>
    <mergeCell ref="N8:P9"/>
    <mergeCell ref="Q8:S9"/>
  </mergeCells>
  <dataValidations count="1">
    <dataValidation allowBlank="false" errorStyle="stop" operator="between" showDropDown="false" showErrorMessage="false" showInputMessage="false" sqref="C70" type="list">
      <formula1>"Facebook,Instagram,Website,Airbnb"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3" min="2" style="1" width="16"/>
  </cols>
  <sheetData>
    <row r="1" customFormat="false" ht="15.75" hidden="false" customHeight="true" outlineLevel="0" collapsed="false">
      <c r="A1" s="19" t="s">
        <v>24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customFormat="false" ht="41.25" hidden="false" customHeight="true" outlineLevel="0" collapsed="false">
      <c r="A3" s="13" t="s">
        <v>21</v>
      </c>
      <c r="B3" s="13" t="s">
        <v>25</v>
      </c>
      <c r="C3" s="13" t="s">
        <v>26</v>
      </c>
      <c r="D3" s="13" t="s">
        <v>27</v>
      </c>
      <c r="E3" s="13" t="s">
        <v>28</v>
      </c>
      <c r="F3" s="13" t="s">
        <v>29</v>
      </c>
      <c r="G3" s="13" t="s">
        <v>30</v>
      </c>
      <c r="H3" s="13" t="s">
        <v>31</v>
      </c>
      <c r="I3" s="13" t="s">
        <v>32</v>
      </c>
      <c r="J3" s="13" t="s">
        <v>33</v>
      </c>
      <c r="K3" s="13" t="s">
        <v>34</v>
      </c>
      <c r="L3" s="13" t="s">
        <v>35</v>
      </c>
      <c r="M3" s="13" t="s">
        <v>36</v>
      </c>
    </row>
    <row r="4" customFormat="false" ht="15" hidden="false" customHeight="true" outlineLevel="0" collapsed="false">
      <c r="A4" s="20" t="n">
        <f aca="false">Facebook!A3</f>
        <v>45660</v>
      </c>
      <c r="B4" s="21" t="n">
        <f aca="false">IFERROR(INDEX(Facebook!$F:$F,MATCH($A4,Facebook!$A:$A,0)),0)</f>
        <v>219</v>
      </c>
      <c r="C4" s="21" t="n">
        <f aca="false">IFERROR(INDEX(Instagram!$F:$F,MATCH($A4,Instagram!$A:$A,0)),0)</f>
        <v>157</v>
      </c>
      <c r="D4" s="21" t="n">
        <f aca="false">B4+C4</f>
        <v>376</v>
      </c>
      <c r="E4" s="21" t="n">
        <f aca="false">IFERROR(INDEX(Facebook!$E:$E,MATCH($A4,Facebook!$A:$A,0)),0)</f>
        <v>11</v>
      </c>
      <c r="F4" s="21" t="n">
        <f aca="false">IFERROR(INDEX(Instagram!$E:$E,MATCH($A4,Instagram!$A:$A,0)),0)</f>
        <v>6</v>
      </c>
      <c r="G4" s="21" t="n">
        <f aca="false">E4+F4</f>
        <v>17</v>
      </c>
      <c r="H4" s="21" t="n">
        <f aca="false">IFERROR(INDEX(Website!$B:$B,MATCH($A4,Website!$A:$A,0)),0)</f>
        <v>120</v>
      </c>
      <c r="I4" s="21" t="n">
        <f aca="false">IFERROR(INDEX(Airbnb!$C:$C,MATCH($A4,Airbnb!$A:$A,0)),0)</f>
        <v>11</v>
      </c>
      <c r="J4" s="21" t="n">
        <f aca="false">H4+I4</f>
        <v>131</v>
      </c>
      <c r="K4" s="21" t="n">
        <f aca="false">IFERROR(INDEX(Airbnb!$D:$D,MATCH($A4,Airbnb!$A:$A,0)),0)</f>
        <v>0</v>
      </c>
      <c r="L4" s="21" t="n">
        <f aca="false">IFERROR(INDEX(Airbnb!$E:$E,MATCH($A4,Airbnb!$A:$A,0)),0)</f>
        <v>0</v>
      </c>
      <c r="M4" s="22" t="n">
        <f aca="false">IFERROR(INDEX(Airbnb!$G:$G,MATCH($A4,Airbnb!$A:$A,0)),0)</f>
        <v>0</v>
      </c>
    </row>
    <row r="5" customFormat="false" ht="15" hidden="false" customHeight="true" outlineLevel="0" collapsed="false">
      <c r="A5" s="23" t="n">
        <f aca="false">Facebook!A4</f>
        <v>45667</v>
      </c>
      <c r="B5" s="24" t="n">
        <f aca="false">IFERROR(INDEX(Facebook!$F:$F,MATCH($A5,Facebook!$A:$A,0)),0)</f>
        <v>198</v>
      </c>
      <c r="C5" s="24" t="n">
        <f aca="false">IFERROR(INDEX(Instagram!$F:$F,MATCH($A5,Instagram!$A:$A,0)),0)</f>
        <v>42</v>
      </c>
      <c r="D5" s="24" t="n">
        <f aca="false">B5+C5</f>
        <v>240</v>
      </c>
      <c r="E5" s="24" t="n">
        <f aca="false">IFERROR(INDEX(Facebook!$E:$E,MATCH($A5,Facebook!$A:$A,0)),0)</f>
        <v>9</v>
      </c>
      <c r="F5" s="24" t="n">
        <f aca="false">IFERROR(INDEX(Instagram!$E:$E,MATCH($A5,Instagram!$A:$A,0)),0)</f>
        <v>6</v>
      </c>
      <c r="G5" s="24" t="n">
        <f aca="false">E5+F5</f>
        <v>15</v>
      </c>
      <c r="H5" s="24" t="n">
        <f aca="false">IFERROR(INDEX(Website!$B:$B,MATCH($A5,Website!$A:$A,0)),0)</f>
        <v>180</v>
      </c>
      <c r="I5" s="24" t="n">
        <f aca="false">IFERROR(INDEX(Airbnb!$C:$C,MATCH($A5,Airbnb!$A:$A,0)),0)</f>
        <v>12</v>
      </c>
      <c r="J5" s="24" t="n">
        <f aca="false">H5+I5</f>
        <v>192</v>
      </c>
      <c r="K5" s="24" t="n">
        <f aca="false">IFERROR(INDEX(Airbnb!$D:$D,MATCH($A5,Airbnb!$A:$A,0)),0)</f>
        <v>0</v>
      </c>
      <c r="L5" s="24" t="n">
        <f aca="false">IFERROR(INDEX(Airbnb!$E:$E,MATCH($A5,Airbnb!$A:$A,0)),0)</f>
        <v>0</v>
      </c>
      <c r="M5" s="25" t="n">
        <f aca="false">IFERROR(INDEX(Airbnb!$G:$G,MATCH($A5,Airbnb!$A:$A,0)),0)</f>
        <v>0</v>
      </c>
    </row>
    <row r="6" customFormat="false" ht="15" hidden="false" customHeight="true" outlineLevel="0" collapsed="false">
      <c r="A6" s="20" t="n">
        <f aca="false">Facebook!A5</f>
        <v>45674</v>
      </c>
      <c r="B6" s="21" t="n">
        <f aca="false">IFERROR(INDEX(Facebook!$F:$F,MATCH($A6,Facebook!$A:$A,0)),0)</f>
        <v>199</v>
      </c>
      <c r="C6" s="21" t="n">
        <f aca="false">IFERROR(INDEX(Instagram!$F:$F,MATCH($A6,Instagram!$A:$A,0)),0)</f>
        <v>36</v>
      </c>
      <c r="D6" s="21" t="n">
        <f aca="false">B6+C6</f>
        <v>235</v>
      </c>
      <c r="E6" s="21" t="n">
        <f aca="false">IFERROR(INDEX(Facebook!$E:$E,MATCH($A6,Facebook!$A:$A,0)),0)</f>
        <v>9</v>
      </c>
      <c r="F6" s="21" t="n">
        <f aca="false">IFERROR(INDEX(Instagram!$E:$E,MATCH($A6,Instagram!$A:$A,0)),0)</f>
        <v>6</v>
      </c>
      <c r="G6" s="21" t="n">
        <f aca="false">E6+F6</f>
        <v>15</v>
      </c>
      <c r="H6" s="21" t="n">
        <f aca="false">IFERROR(INDEX(Website!$B:$B,MATCH($A6,Website!$A:$A,0)),0)</f>
        <v>200</v>
      </c>
      <c r="I6" s="21" t="n">
        <f aca="false">IFERROR(INDEX(Airbnb!$C:$C,MATCH($A6,Airbnb!$A:$A,0)),0)</f>
        <v>10</v>
      </c>
      <c r="J6" s="21" t="n">
        <f aca="false">H6+I6</f>
        <v>210</v>
      </c>
      <c r="K6" s="21" t="n">
        <f aca="false">IFERROR(INDEX(Airbnb!$D:$D,MATCH($A6,Airbnb!$A:$A,0)),0)</f>
        <v>0</v>
      </c>
      <c r="L6" s="21" t="n">
        <f aca="false">IFERROR(INDEX(Airbnb!$E:$E,MATCH($A6,Airbnb!$A:$A,0)),0)</f>
        <v>0</v>
      </c>
      <c r="M6" s="22" t="n">
        <f aca="false">IFERROR(INDEX(Airbnb!$G:$G,MATCH($A6,Airbnb!$A:$A,0)),0)</f>
        <v>0</v>
      </c>
    </row>
    <row r="7" customFormat="false" ht="15" hidden="false" customHeight="true" outlineLevel="0" collapsed="false">
      <c r="A7" s="23" t="n">
        <f aca="false">Facebook!A6</f>
        <v>45681</v>
      </c>
      <c r="B7" s="24" t="n">
        <f aca="false">IFERROR(INDEX(Facebook!$F:$F,MATCH($A7,Facebook!$A:$A,0)),0)</f>
        <v>2783</v>
      </c>
      <c r="C7" s="24" t="n">
        <f aca="false">IFERROR(INDEX(Instagram!$F:$F,MATCH($A7,Instagram!$A:$A,0)),0)</f>
        <v>280</v>
      </c>
      <c r="D7" s="24" t="n">
        <f aca="false">B7+C7</f>
        <v>3063</v>
      </c>
      <c r="E7" s="24" t="n">
        <f aca="false">IFERROR(INDEX(Facebook!$E:$E,MATCH($A7,Facebook!$A:$A,0)),0)</f>
        <v>688</v>
      </c>
      <c r="F7" s="24" t="n">
        <f aca="false">IFERROR(INDEX(Instagram!$E:$E,MATCH($A7,Instagram!$A:$A,0)),0)</f>
        <v>7</v>
      </c>
      <c r="G7" s="24" t="n">
        <f aca="false">E7+F7</f>
        <v>695</v>
      </c>
      <c r="H7" s="24" t="n">
        <f aca="false">IFERROR(INDEX(Website!$B:$B,MATCH($A7,Website!$A:$A,0)),0)</f>
        <v>230</v>
      </c>
      <c r="I7" s="24" t="n">
        <f aca="false">IFERROR(INDEX(Airbnb!$C:$C,MATCH($A7,Airbnb!$A:$A,0)),0)</f>
        <v>12</v>
      </c>
      <c r="J7" s="24" t="n">
        <f aca="false">H7+I7</f>
        <v>242</v>
      </c>
      <c r="K7" s="24" t="n">
        <f aca="false">IFERROR(INDEX(Airbnb!$D:$D,MATCH($A7,Airbnb!$A:$A,0)),0)</f>
        <v>0</v>
      </c>
      <c r="L7" s="24" t="n">
        <f aca="false">IFERROR(INDEX(Airbnb!$E:$E,MATCH($A7,Airbnb!$A:$A,0)),0)</f>
        <v>0</v>
      </c>
      <c r="M7" s="25" t="n">
        <f aca="false">IFERROR(INDEX(Airbnb!$G:$G,MATCH($A7,Airbnb!$A:$A,0)),0)</f>
        <v>0</v>
      </c>
    </row>
    <row r="8" customFormat="false" ht="15" hidden="false" customHeight="true" outlineLevel="0" collapsed="false">
      <c r="A8" s="20" t="n">
        <f aca="false">Facebook!A7</f>
        <v>45688</v>
      </c>
      <c r="B8" s="21" t="n">
        <f aca="false">IFERROR(INDEX(Facebook!$F:$F,MATCH($A8,Facebook!$A:$A,0)),0)</f>
        <v>8700</v>
      </c>
      <c r="C8" s="21" t="n">
        <f aca="false">IFERROR(INDEX(Instagram!$F:$F,MATCH($A8,Instagram!$A:$A,0)),0)</f>
        <v>100500</v>
      </c>
      <c r="D8" s="21" t="n">
        <f aca="false">B8+C8</f>
        <v>109200</v>
      </c>
      <c r="E8" s="21" t="n">
        <f aca="false">IFERROR(INDEX(Facebook!$E:$E,MATCH($A8,Facebook!$A:$A,0)),0)</f>
        <v>1291</v>
      </c>
      <c r="F8" s="21" t="n">
        <f aca="false">IFERROR(INDEX(Instagram!$E:$E,MATCH($A8,Instagram!$A:$A,0)),0)</f>
        <v>146</v>
      </c>
      <c r="G8" s="21" t="n">
        <f aca="false">E8+F8</f>
        <v>1437</v>
      </c>
      <c r="H8" s="21" t="n">
        <f aca="false">IFERROR(INDEX(Website!$B:$B,MATCH($A8,Website!$A:$A,0)),0)</f>
        <v>250</v>
      </c>
      <c r="I8" s="21" t="n">
        <f aca="false">IFERROR(INDEX(Airbnb!$C:$C,MATCH($A8,Airbnb!$A:$A,0)),0)</f>
        <v>11</v>
      </c>
      <c r="J8" s="21" t="n">
        <f aca="false">H8+I8</f>
        <v>261</v>
      </c>
      <c r="K8" s="21" t="n">
        <f aca="false">IFERROR(INDEX(Airbnb!$D:$D,MATCH($A8,Airbnb!$A:$A,0)),0)</f>
        <v>0</v>
      </c>
      <c r="L8" s="21" t="n">
        <f aca="false">IFERROR(INDEX(Airbnb!$E:$E,MATCH($A8,Airbnb!$A:$A,0)),0)</f>
        <v>0</v>
      </c>
      <c r="M8" s="22" t="n">
        <f aca="false">IFERROR(INDEX(Airbnb!$G:$G,MATCH($A8,Airbnb!$A:$A,0)),0)</f>
        <v>0</v>
      </c>
    </row>
    <row r="9" customFormat="false" ht="15" hidden="false" customHeight="true" outlineLevel="0" collapsed="false">
      <c r="A9" s="23" t="n">
        <f aca="false">Facebook!A8</f>
        <v>45695</v>
      </c>
      <c r="B9" s="24" t="n">
        <f aca="false">IFERROR(INDEX(Facebook!$F:$F,MATCH($A9,Facebook!$A:$A,0)),0)</f>
        <v>147</v>
      </c>
      <c r="C9" s="24" t="n">
        <f aca="false">IFERROR(INDEX(Instagram!$F:$F,MATCH($A9,Instagram!$A:$A,0)),0)</f>
        <v>359</v>
      </c>
      <c r="D9" s="24" t="n">
        <f aca="false">B9+C9</f>
        <v>506</v>
      </c>
      <c r="E9" s="24" t="n">
        <f aca="false">IFERROR(INDEX(Facebook!$E:$E,MATCH($A9,Facebook!$A:$A,0)),0)</f>
        <v>4</v>
      </c>
      <c r="F9" s="24" t="n">
        <f aca="false">IFERROR(INDEX(Instagram!$E:$E,MATCH($A9,Instagram!$A:$A,0)),0)</f>
        <v>3</v>
      </c>
      <c r="G9" s="24" t="n">
        <f aca="false">E9+F9</f>
        <v>7</v>
      </c>
      <c r="H9" s="24" t="n">
        <f aca="false">IFERROR(INDEX(Website!$B:$B,MATCH($A9,Website!$A:$A,0)),0)</f>
        <v>280</v>
      </c>
      <c r="I9" s="24" t="n">
        <f aca="false">IFERROR(INDEX(Airbnb!$C:$C,MATCH($A9,Airbnb!$A:$A,0)),0)</f>
        <v>12</v>
      </c>
      <c r="J9" s="24" t="n">
        <f aca="false">H9+I9</f>
        <v>292</v>
      </c>
      <c r="K9" s="24" t="n">
        <f aca="false">IFERROR(INDEX(Airbnb!$D:$D,MATCH($A9,Airbnb!$A:$A,0)),0)</f>
        <v>0</v>
      </c>
      <c r="L9" s="24" t="n">
        <f aca="false">IFERROR(INDEX(Airbnb!$E:$E,MATCH($A9,Airbnb!$A:$A,0)),0)</f>
        <v>0</v>
      </c>
      <c r="M9" s="25" t="n">
        <f aca="false">IFERROR(INDEX(Airbnb!$G:$G,MATCH($A9,Airbnb!$A:$A,0)),0)</f>
        <v>0</v>
      </c>
    </row>
    <row r="10" customFormat="false" ht="15" hidden="false" customHeight="true" outlineLevel="0" collapsed="false">
      <c r="A10" s="20" t="n">
        <f aca="false">Facebook!A9</f>
        <v>45702</v>
      </c>
      <c r="B10" s="21" t="n">
        <f aca="false">IFERROR(INDEX(Facebook!$F:$F,MATCH($A10,Facebook!$A:$A,0)),0)</f>
        <v>100</v>
      </c>
      <c r="C10" s="21" t="n">
        <f aca="false">IFERROR(INDEX(Instagram!$F:$F,MATCH($A10,Instagram!$A:$A,0)),0)</f>
        <v>158</v>
      </c>
      <c r="D10" s="21" t="n">
        <f aca="false">B10+C10</f>
        <v>258</v>
      </c>
      <c r="E10" s="21" t="n">
        <f aca="false">IFERROR(INDEX(Facebook!$E:$E,MATCH($A10,Facebook!$A:$A,0)),0)</f>
        <v>2</v>
      </c>
      <c r="F10" s="21" t="n">
        <f aca="false">IFERROR(INDEX(Instagram!$E:$E,MATCH($A10,Instagram!$A:$A,0)),0)</f>
        <v>1</v>
      </c>
      <c r="G10" s="21" t="n">
        <f aca="false">E10+F10</f>
        <v>3</v>
      </c>
      <c r="H10" s="21" t="n">
        <f aca="false">IFERROR(INDEX(Website!$B:$B,MATCH($A10,Website!$A:$A,0)),0)</f>
        <v>350</v>
      </c>
      <c r="I10" s="21" t="n">
        <f aca="false">IFERROR(INDEX(Airbnb!$C:$C,MATCH($A10,Airbnb!$A:$A,0)),0)</f>
        <v>10</v>
      </c>
      <c r="J10" s="21" t="n">
        <f aca="false">H10+I10</f>
        <v>360</v>
      </c>
      <c r="K10" s="21" t="n">
        <f aca="false">IFERROR(INDEX(Airbnb!$D:$D,MATCH($A10,Airbnb!$A:$A,0)),0)</f>
        <v>1</v>
      </c>
      <c r="L10" s="21" t="n">
        <f aca="false">IFERROR(INDEX(Airbnb!$E:$E,MATCH($A10,Airbnb!$A:$A,0)),0)</f>
        <v>0</v>
      </c>
      <c r="M10" s="22" t="n">
        <f aca="false">IFERROR(INDEX(Airbnb!$G:$G,MATCH($A10,Airbnb!$A:$A,0)),0)</f>
        <v>0</v>
      </c>
    </row>
    <row r="11" customFormat="false" ht="15" hidden="false" customHeight="true" outlineLevel="0" collapsed="false">
      <c r="A11" s="23" t="n">
        <f aca="false">Facebook!A10</f>
        <v>45709</v>
      </c>
      <c r="B11" s="24" t="n">
        <f aca="false">IFERROR(INDEX(Facebook!$F:$F,MATCH($A11,Facebook!$A:$A,0)),0)</f>
        <v>26</v>
      </c>
      <c r="C11" s="24" t="n">
        <f aca="false">IFERROR(INDEX(Instagram!$F:$F,MATCH($A11,Instagram!$A:$A,0)),0)</f>
        <v>73</v>
      </c>
      <c r="D11" s="24" t="n">
        <f aca="false">B11+C11</f>
        <v>99</v>
      </c>
      <c r="E11" s="24" t="n">
        <f aca="false">IFERROR(INDEX(Facebook!$E:$E,MATCH($A11,Facebook!$A:$A,0)),0)</f>
        <v>4</v>
      </c>
      <c r="F11" s="24" t="n">
        <f aca="false">IFERROR(INDEX(Instagram!$E:$E,MATCH($A11,Instagram!$A:$A,0)),0)</f>
        <v>1</v>
      </c>
      <c r="G11" s="24" t="n">
        <f aca="false">E11+F11</f>
        <v>5</v>
      </c>
      <c r="H11" s="24" t="n">
        <f aca="false">IFERROR(INDEX(Website!$B:$B,MATCH($A11,Website!$A:$A,0)),0)</f>
        <v>400</v>
      </c>
      <c r="I11" s="24" t="n">
        <f aca="false">IFERROR(INDEX(Airbnb!$C:$C,MATCH($A11,Airbnb!$A:$A,0)),0)</f>
        <v>9</v>
      </c>
      <c r="J11" s="24" t="n">
        <f aca="false">H11+I11</f>
        <v>409</v>
      </c>
      <c r="K11" s="24" t="n">
        <f aca="false">IFERROR(INDEX(Airbnb!$D:$D,MATCH($A11,Airbnb!$A:$A,0)),0)</f>
        <v>0</v>
      </c>
      <c r="L11" s="24" t="n">
        <f aca="false">IFERROR(INDEX(Airbnb!$E:$E,MATCH($A11,Airbnb!$A:$A,0)),0)</f>
        <v>0</v>
      </c>
      <c r="M11" s="25" t="n">
        <f aca="false">IFERROR(INDEX(Airbnb!$G:$G,MATCH($A11,Airbnb!$A:$A,0)),0)</f>
        <v>0</v>
      </c>
    </row>
    <row r="12" customFormat="false" ht="15" hidden="false" customHeight="true" outlineLevel="0" collapsed="false">
      <c r="A12" s="20" t="n">
        <f aca="false">Facebook!A11</f>
        <v>45716</v>
      </c>
      <c r="B12" s="21" t="n">
        <f aca="false">IFERROR(INDEX(Facebook!$F:$F,MATCH($A12,Facebook!$A:$A,0)),0)</f>
        <v>10</v>
      </c>
      <c r="C12" s="21" t="n">
        <f aca="false">IFERROR(INDEX(Instagram!$F:$F,MATCH($A12,Instagram!$A:$A,0)),0)</f>
        <v>38</v>
      </c>
      <c r="D12" s="21" t="n">
        <f aca="false">B12+C12</f>
        <v>48</v>
      </c>
      <c r="E12" s="21" t="n">
        <f aca="false">IFERROR(INDEX(Facebook!$E:$E,MATCH($A12,Facebook!$A:$A,0)),0)</f>
        <v>2</v>
      </c>
      <c r="F12" s="21" t="n">
        <f aca="false">IFERROR(INDEX(Instagram!$E:$E,MATCH($A12,Instagram!$A:$A,0)),0)</f>
        <v>1</v>
      </c>
      <c r="G12" s="21" t="n">
        <f aca="false">E12+F12</f>
        <v>3</v>
      </c>
      <c r="H12" s="21" t="n">
        <f aca="false">IFERROR(INDEX(Website!$B:$B,MATCH($A12,Website!$A:$A,0)),0)</f>
        <v>450</v>
      </c>
      <c r="I12" s="21" t="n">
        <f aca="false">IFERROR(INDEX(Airbnb!$C:$C,MATCH($A12,Airbnb!$A:$A,0)),0)</f>
        <v>5</v>
      </c>
      <c r="J12" s="21" t="n">
        <f aca="false">H12+I12</f>
        <v>455</v>
      </c>
      <c r="K12" s="21" t="n">
        <f aca="false">IFERROR(INDEX(Airbnb!$D:$D,MATCH($A12,Airbnb!$A:$A,0)),0)</f>
        <v>0</v>
      </c>
      <c r="L12" s="21" t="n">
        <f aca="false">IFERROR(INDEX(Airbnb!$E:$E,MATCH($A12,Airbnb!$A:$A,0)),0)</f>
        <v>0</v>
      </c>
      <c r="M12" s="22" t="n">
        <f aca="false">IFERROR(INDEX(Airbnb!$G:$G,MATCH($A12,Airbnb!$A:$A,0)),0)</f>
        <v>0</v>
      </c>
    </row>
    <row r="13" customFormat="false" ht="15" hidden="false" customHeight="true" outlineLevel="0" collapsed="false">
      <c r="A13" s="23" t="n">
        <f aca="false">Facebook!A12</f>
        <v>45723</v>
      </c>
      <c r="B13" s="24" t="n">
        <f aca="false">IFERROR(INDEX(Facebook!$F:$F,MATCH($A13,Facebook!$A:$A,0)),0)</f>
        <v>5</v>
      </c>
      <c r="C13" s="24" t="n">
        <f aca="false">IFERROR(INDEX(Instagram!$F:$F,MATCH($A13,Instagram!$A:$A,0)),0)</f>
        <v>30</v>
      </c>
      <c r="D13" s="24" t="n">
        <f aca="false">B13+C13</f>
        <v>35</v>
      </c>
      <c r="E13" s="24" t="n">
        <f aca="false">IFERROR(INDEX(Facebook!$E:$E,MATCH($A13,Facebook!$A:$A,0)),0)</f>
        <v>3</v>
      </c>
      <c r="F13" s="24" t="n">
        <f aca="false">IFERROR(INDEX(Instagram!$E:$E,MATCH($A13,Instagram!$A:$A,0)),0)</f>
        <v>1</v>
      </c>
      <c r="G13" s="24" t="n">
        <f aca="false">E13+F13</f>
        <v>4</v>
      </c>
      <c r="H13" s="24" t="n">
        <f aca="false">IFERROR(INDEX(Website!$B:$B,MATCH($A13,Website!$A:$A,0)),0)</f>
        <v>550</v>
      </c>
      <c r="I13" s="24" t="n">
        <f aca="false">IFERROR(INDEX(Airbnb!$C:$C,MATCH($A13,Airbnb!$A:$A,0)),0)</f>
        <v>7</v>
      </c>
      <c r="J13" s="24" t="n">
        <f aca="false">H13+I13</f>
        <v>557</v>
      </c>
      <c r="K13" s="24" t="n">
        <f aca="false">IFERROR(INDEX(Airbnb!$D:$D,MATCH($A13,Airbnb!$A:$A,0)),0)</f>
        <v>0</v>
      </c>
      <c r="L13" s="24" t="n">
        <f aca="false">IFERROR(INDEX(Airbnb!$E:$E,MATCH($A13,Airbnb!$A:$A,0)),0)</f>
        <v>0</v>
      </c>
      <c r="M13" s="25" t="n">
        <f aca="false">IFERROR(INDEX(Airbnb!$G:$G,MATCH($A13,Airbnb!$A:$A,0)),0)</f>
        <v>0</v>
      </c>
    </row>
    <row r="14" customFormat="false" ht="15" hidden="false" customHeight="true" outlineLevel="0" collapsed="false">
      <c r="A14" s="20" t="n">
        <f aca="false">Facebook!A13</f>
        <v>45730</v>
      </c>
      <c r="B14" s="21" t="n">
        <f aca="false">IFERROR(INDEX(Facebook!$F:$F,MATCH($A14,Facebook!$A:$A,0)),0)</f>
        <v>101</v>
      </c>
      <c r="C14" s="21" t="n">
        <f aca="false">IFERROR(INDEX(Instagram!$F:$F,MATCH($A14,Instagram!$A:$A,0)),0)</f>
        <v>86</v>
      </c>
      <c r="D14" s="21" t="n">
        <f aca="false">B14+C14</f>
        <v>187</v>
      </c>
      <c r="E14" s="21" t="n">
        <f aca="false">IFERROR(INDEX(Facebook!$E:$E,MATCH($A14,Facebook!$A:$A,0)),0)</f>
        <v>2</v>
      </c>
      <c r="F14" s="21" t="n">
        <f aca="false">IFERROR(INDEX(Instagram!$E:$E,MATCH($A14,Instagram!$A:$A,0)),0)</f>
        <v>4</v>
      </c>
      <c r="G14" s="21" t="n">
        <f aca="false">E14+F14</f>
        <v>6</v>
      </c>
      <c r="H14" s="21" t="n">
        <f aca="false">IFERROR(INDEX(Website!$B:$B,MATCH($A14,Website!$A:$A,0)),0)</f>
        <v>543</v>
      </c>
      <c r="I14" s="21" t="n">
        <f aca="false">IFERROR(INDEX(Airbnb!$C:$C,MATCH($A14,Airbnb!$A:$A,0)),0)</f>
        <v>8</v>
      </c>
      <c r="J14" s="21" t="n">
        <f aca="false">H14+I14</f>
        <v>551</v>
      </c>
      <c r="K14" s="21" t="n">
        <f aca="false">IFERROR(INDEX(Airbnb!$D:$D,MATCH($A14,Airbnb!$A:$A,0)),0)</f>
        <v>0</v>
      </c>
      <c r="L14" s="21" t="n">
        <f aca="false">IFERROR(INDEX(Airbnb!$E:$E,MATCH($A14,Airbnb!$A:$A,0)),0)</f>
        <v>1</v>
      </c>
      <c r="M14" s="22" t="n">
        <f aca="false">IFERROR(INDEX(Airbnb!$G:$G,MATCH($A14,Airbnb!$A:$A,0)),0)</f>
        <v>200</v>
      </c>
    </row>
    <row r="15" customFormat="false" ht="15" hidden="false" customHeight="true" outlineLevel="0" collapsed="false">
      <c r="A15" s="23" t="n">
        <f aca="false">Facebook!A14</f>
        <v>45737</v>
      </c>
      <c r="B15" s="24" t="n">
        <f aca="false">IFERROR(INDEX(Facebook!$F:$F,MATCH($A15,Facebook!$A:$A,0)),0)</f>
        <v>1164</v>
      </c>
      <c r="C15" s="24" t="n">
        <f aca="false">IFERROR(INDEX(Instagram!$F:$F,MATCH($A15,Instagram!$A:$A,0)),0)</f>
        <v>418</v>
      </c>
      <c r="D15" s="24" t="n">
        <f aca="false">B15+C15</f>
        <v>1582</v>
      </c>
      <c r="E15" s="24" t="n">
        <f aca="false">IFERROR(INDEX(Facebook!$E:$E,MATCH($A15,Facebook!$A:$A,0)),0)</f>
        <v>17</v>
      </c>
      <c r="F15" s="24" t="n">
        <f aca="false">IFERROR(INDEX(Instagram!$E:$E,MATCH($A15,Instagram!$A:$A,0)),0)</f>
        <v>26</v>
      </c>
      <c r="G15" s="24" t="n">
        <f aca="false">E15+F15</f>
        <v>43</v>
      </c>
      <c r="H15" s="24" t="n">
        <f aca="false">IFERROR(INDEX(Website!$B:$B,MATCH($A15,Website!$A:$A,0)),0)</f>
        <v>630</v>
      </c>
      <c r="I15" s="24" t="n">
        <f aca="false">IFERROR(INDEX(Airbnb!$C:$C,MATCH($A15,Airbnb!$A:$A,0)),0)</f>
        <v>7</v>
      </c>
      <c r="J15" s="24" t="n">
        <f aca="false">H15+I15</f>
        <v>637</v>
      </c>
      <c r="K15" s="24" t="n">
        <f aca="false">IFERROR(INDEX(Airbnb!$D:$D,MATCH($A15,Airbnb!$A:$A,0)),0)</f>
        <v>0</v>
      </c>
      <c r="L15" s="24" t="n">
        <f aca="false">IFERROR(INDEX(Airbnb!$E:$E,MATCH($A15,Airbnb!$A:$A,0)),0)</f>
        <v>0</v>
      </c>
      <c r="M15" s="25" t="n">
        <f aca="false">IFERROR(INDEX(Airbnb!$G:$G,MATCH($A15,Airbnb!$A:$A,0)),0)</f>
        <v>0</v>
      </c>
    </row>
    <row r="16" customFormat="false" ht="15" hidden="false" customHeight="true" outlineLevel="0" collapsed="false">
      <c r="A16" s="20" t="n">
        <f aca="false">Facebook!A15</f>
        <v>45744</v>
      </c>
      <c r="B16" s="21" t="n">
        <f aca="false">IFERROR(INDEX(Facebook!$F:$F,MATCH($A16,Facebook!$A:$A,0)),0)</f>
        <v>1292</v>
      </c>
      <c r="C16" s="21" t="n">
        <f aca="false">IFERROR(INDEX(Instagram!$F:$F,MATCH($A16,Instagram!$A:$A,0)),0)</f>
        <v>113</v>
      </c>
      <c r="D16" s="21" t="n">
        <f aca="false">B16+C16</f>
        <v>1405</v>
      </c>
      <c r="E16" s="21" t="n">
        <f aca="false">IFERROR(INDEX(Facebook!$E:$E,MATCH($A16,Facebook!$A:$A,0)),0)</f>
        <v>9</v>
      </c>
      <c r="F16" s="21" t="n">
        <f aca="false">IFERROR(INDEX(Instagram!$E:$E,MATCH($A16,Instagram!$A:$A,0)),0)</f>
        <v>7</v>
      </c>
      <c r="G16" s="21" t="n">
        <f aca="false">E16+F16</f>
        <v>16</v>
      </c>
      <c r="H16" s="21" t="n">
        <f aca="false">IFERROR(INDEX(Website!$B:$B,MATCH($A16,Website!$A:$A,0)),0)</f>
        <v>730</v>
      </c>
      <c r="I16" s="21" t="n">
        <f aca="false">IFERROR(INDEX(Airbnb!$C:$C,MATCH($A16,Airbnb!$A:$A,0)),0)</f>
        <v>9</v>
      </c>
      <c r="J16" s="21" t="n">
        <f aca="false">H16+I16</f>
        <v>739</v>
      </c>
      <c r="K16" s="21" t="n">
        <f aca="false">IFERROR(INDEX(Airbnb!$D:$D,MATCH($A16,Airbnb!$A:$A,0)),0)</f>
        <v>0</v>
      </c>
      <c r="L16" s="21" t="n">
        <f aca="false">IFERROR(INDEX(Airbnb!$E:$E,MATCH($A16,Airbnb!$A:$A,0)),0)</f>
        <v>0</v>
      </c>
      <c r="M16" s="22" t="n">
        <f aca="false">IFERROR(INDEX(Airbnb!$G:$G,MATCH($A16,Airbnb!$A:$A,0)),0)</f>
        <v>0</v>
      </c>
    </row>
    <row r="17" customFormat="false" ht="15" hidden="false" customHeight="true" outlineLevel="0" collapsed="false">
      <c r="A17" s="23" t="n">
        <f aca="false">Facebook!A16</f>
        <v>45751</v>
      </c>
      <c r="B17" s="24" t="n">
        <f aca="false">IFERROR(INDEX(Facebook!$F:$F,MATCH($A17,Facebook!$A:$A,0)),0)</f>
        <v>1901</v>
      </c>
      <c r="C17" s="24" t="n">
        <f aca="false">IFERROR(INDEX(Instagram!$F:$F,MATCH($A17,Instagram!$A:$A,0)),0)</f>
        <v>7</v>
      </c>
      <c r="D17" s="24" t="n">
        <f aca="false">B17+C17</f>
        <v>1908</v>
      </c>
      <c r="E17" s="24" t="n">
        <f aca="false">IFERROR(INDEX(Facebook!$E:$E,MATCH($A17,Facebook!$A:$A,0)),0)</f>
        <v>7</v>
      </c>
      <c r="F17" s="24" t="n">
        <f aca="false">IFERROR(INDEX(Instagram!$E:$E,MATCH($A17,Instagram!$A:$A,0)),0)</f>
        <v>194</v>
      </c>
      <c r="G17" s="24" t="n">
        <f aca="false">E17+F17</f>
        <v>201</v>
      </c>
      <c r="H17" s="24" t="n">
        <f aca="false">IFERROR(INDEX(Website!$B:$B,MATCH($A17,Website!$A:$A,0)),0)</f>
        <v>850</v>
      </c>
      <c r="I17" s="24" t="n">
        <f aca="false">IFERROR(INDEX(Airbnb!$C:$C,MATCH($A17,Airbnb!$A:$A,0)),0)</f>
        <v>9</v>
      </c>
      <c r="J17" s="24" t="n">
        <f aca="false">H17+I17</f>
        <v>859</v>
      </c>
      <c r="K17" s="24" t="n">
        <f aca="false">IFERROR(INDEX(Airbnb!$D:$D,MATCH($A17,Airbnb!$A:$A,0)),0)</f>
        <v>0</v>
      </c>
      <c r="L17" s="24" t="n">
        <f aca="false">IFERROR(INDEX(Airbnb!$E:$E,MATCH($A17,Airbnb!$A:$A,0)),0)</f>
        <v>0</v>
      </c>
      <c r="M17" s="25" t="n">
        <f aca="false">IFERROR(INDEX(Airbnb!$G:$G,MATCH($A17,Airbnb!$A:$A,0)),0)</f>
        <v>0</v>
      </c>
    </row>
    <row r="18" customFormat="false" ht="15" hidden="false" customHeight="true" outlineLevel="0" collapsed="false">
      <c r="A18" s="20" t="n">
        <f aca="false">Facebook!A17</f>
        <v>45758</v>
      </c>
      <c r="B18" s="21" t="n">
        <f aca="false">IFERROR(INDEX(Facebook!$F:$F,MATCH($A18,Facebook!$A:$A,0)),0)</f>
        <v>395</v>
      </c>
      <c r="C18" s="21" t="n">
        <f aca="false">IFERROR(INDEX(Instagram!$F:$F,MATCH($A18,Instagram!$A:$A,0)),0)</f>
        <v>101</v>
      </c>
      <c r="D18" s="21" t="n">
        <f aca="false">B18+C18</f>
        <v>496</v>
      </c>
      <c r="E18" s="21" t="n">
        <f aca="false">IFERROR(INDEX(Facebook!$E:$E,MATCH($A18,Facebook!$A:$A,0)),0)</f>
        <v>7</v>
      </c>
      <c r="F18" s="21" t="n">
        <f aca="false">IFERROR(INDEX(Instagram!$E:$E,MATCH($A18,Instagram!$A:$A,0)),0)</f>
        <v>5</v>
      </c>
      <c r="G18" s="21" t="n">
        <f aca="false">E18+F18</f>
        <v>12</v>
      </c>
      <c r="H18" s="21" t="n">
        <f aca="false">IFERROR(INDEX(Website!$B:$B,MATCH($A18,Website!$A:$A,0)),0)</f>
        <v>953</v>
      </c>
      <c r="I18" s="21" t="n">
        <f aca="false">IFERROR(INDEX(Airbnb!$C:$C,MATCH($A18,Airbnb!$A:$A,0)),0)</f>
        <v>11</v>
      </c>
      <c r="J18" s="21" t="n">
        <f aca="false">H18+I18</f>
        <v>964</v>
      </c>
      <c r="K18" s="21" t="n">
        <f aca="false">IFERROR(INDEX(Airbnb!$D:$D,MATCH($A18,Airbnb!$A:$A,0)),0)</f>
        <v>0</v>
      </c>
      <c r="L18" s="21" t="n">
        <f aca="false">IFERROR(INDEX(Airbnb!$E:$E,MATCH($A18,Airbnb!$A:$A,0)),0)</f>
        <v>0</v>
      </c>
      <c r="M18" s="22" t="n">
        <f aca="false">IFERROR(INDEX(Airbnb!$G:$G,MATCH($A18,Airbnb!$A:$A,0)),0)</f>
        <v>0</v>
      </c>
    </row>
    <row r="19" customFormat="false" ht="15" hidden="false" customHeight="true" outlineLevel="0" collapsed="false">
      <c r="A19" s="23" t="n">
        <f aca="false">Facebook!A18</f>
        <v>45765</v>
      </c>
      <c r="B19" s="24" t="n">
        <f aca="false">IFERROR(INDEX(Facebook!$F:$F,MATCH($A19,Facebook!$A:$A,0)),0)</f>
        <v>440</v>
      </c>
      <c r="C19" s="24" t="n">
        <f aca="false">IFERROR(INDEX(Instagram!$F:$F,MATCH($A19,Instagram!$A:$A,0)),0)</f>
        <v>212</v>
      </c>
      <c r="D19" s="24" t="n">
        <f aca="false">B19+C19</f>
        <v>652</v>
      </c>
      <c r="E19" s="24" t="n">
        <f aca="false">IFERROR(INDEX(Facebook!$E:$E,MATCH($A19,Facebook!$A:$A,0)),0)</f>
        <v>71</v>
      </c>
      <c r="F19" s="24" t="n">
        <f aca="false">IFERROR(INDEX(Instagram!$E:$E,MATCH($A19,Instagram!$A:$A,0)),0)</f>
        <v>15</v>
      </c>
      <c r="G19" s="24" t="n">
        <f aca="false">E19+F19</f>
        <v>86</v>
      </c>
      <c r="H19" s="24" t="n">
        <f aca="false">IFERROR(INDEX(Website!$B:$B,MATCH($A19,Website!$A:$A,0)),0)</f>
        <v>1233</v>
      </c>
      <c r="I19" s="24" t="n">
        <f aca="false">IFERROR(INDEX(Airbnb!$C:$C,MATCH($A19,Airbnb!$A:$A,0)),0)</f>
        <v>12</v>
      </c>
      <c r="J19" s="24" t="n">
        <f aca="false">H19+I19</f>
        <v>1245</v>
      </c>
      <c r="K19" s="24" t="n">
        <f aca="false">IFERROR(INDEX(Airbnb!$D:$D,MATCH($A19,Airbnb!$A:$A,0)),0)</f>
        <v>0</v>
      </c>
      <c r="L19" s="24" t="n">
        <f aca="false">IFERROR(INDEX(Airbnb!$E:$E,MATCH($A19,Airbnb!$A:$A,0)),0)</f>
        <v>0</v>
      </c>
      <c r="M19" s="25" t="n">
        <f aca="false">IFERROR(INDEX(Airbnb!$G:$G,MATCH($A19,Airbnb!$A:$A,0)),0)</f>
        <v>0</v>
      </c>
    </row>
    <row r="20" customFormat="false" ht="15" hidden="false" customHeight="true" outlineLevel="0" collapsed="false">
      <c r="A20" s="20" t="n">
        <f aca="false">Facebook!A19</f>
        <v>45772</v>
      </c>
      <c r="B20" s="21" t="n">
        <f aca="false">IFERROR(INDEX(Facebook!$F:$F,MATCH($A20,Facebook!$A:$A,0)),0)</f>
        <v>806</v>
      </c>
      <c r="C20" s="21" t="n">
        <f aca="false">IFERROR(INDEX(Instagram!$F:$F,MATCH($A20,Instagram!$A:$A,0)),0)</f>
        <v>274</v>
      </c>
      <c r="D20" s="21" t="n">
        <f aca="false">B20+C20</f>
        <v>1080</v>
      </c>
      <c r="E20" s="21" t="n">
        <f aca="false">IFERROR(INDEX(Facebook!$E:$E,MATCH($A20,Facebook!$A:$A,0)),0)</f>
        <v>169</v>
      </c>
      <c r="F20" s="21" t="n">
        <f aca="false">IFERROR(INDEX(Instagram!$E:$E,MATCH($A20,Instagram!$A:$A,0)),0)</f>
        <v>17</v>
      </c>
      <c r="G20" s="21" t="n">
        <f aca="false">E20+F20</f>
        <v>186</v>
      </c>
      <c r="H20" s="21" t="n">
        <f aca="false">IFERROR(INDEX(Website!$B:$B,MATCH($A20,Website!$A:$A,0)),0)</f>
        <v>1554</v>
      </c>
      <c r="I20" s="21" t="n">
        <f aca="false">IFERROR(INDEX(Airbnb!$C:$C,MATCH($A20,Airbnb!$A:$A,0)),0)</f>
        <v>9</v>
      </c>
      <c r="J20" s="21" t="n">
        <f aca="false">H20+I20</f>
        <v>1563</v>
      </c>
      <c r="K20" s="21" t="n">
        <f aca="false">IFERROR(INDEX(Airbnb!$D:$D,MATCH($A20,Airbnb!$A:$A,0)),0)</f>
        <v>1</v>
      </c>
      <c r="L20" s="21" t="n">
        <f aca="false">IFERROR(INDEX(Airbnb!$E:$E,MATCH($A20,Airbnb!$A:$A,0)),0)</f>
        <v>1</v>
      </c>
      <c r="M20" s="22" t="n">
        <f aca="false">IFERROR(INDEX(Airbnb!$G:$G,MATCH($A20,Airbnb!$A:$A,0)),0)</f>
        <v>226</v>
      </c>
    </row>
    <row r="21" customFormat="false" ht="15" hidden="false" customHeight="true" outlineLevel="0" collapsed="false">
      <c r="A21" s="23" t="n">
        <f aca="false">Facebook!A20</f>
        <v>45779</v>
      </c>
      <c r="B21" s="24" t="n">
        <f aca="false">IFERROR(INDEX(Facebook!$F:$F,MATCH($A21,Facebook!$A:$A,0)),0)</f>
        <v>1193</v>
      </c>
      <c r="C21" s="24" t="n">
        <f aca="false">IFERROR(INDEX(Instagram!$F:$F,MATCH($A21,Instagram!$A:$A,0)),0)</f>
        <v>67</v>
      </c>
      <c r="D21" s="24" t="n">
        <f aca="false">B21+C21</f>
        <v>1260</v>
      </c>
      <c r="E21" s="24" t="n">
        <f aca="false">IFERROR(INDEX(Facebook!$E:$E,MATCH($A21,Facebook!$A:$A,0)),0)</f>
        <v>44</v>
      </c>
      <c r="F21" s="24" t="n">
        <f aca="false">IFERROR(INDEX(Instagram!$E:$E,MATCH($A21,Instagram!$A:$A,0)),0)</f>
        <v>10</v>
      </c>
      <c r="G21" s="24" t="n">
        <f aca="false">E21+F21</f>
        <v>54</v>
      </c>
      <c r="H21" s="24" t="n">
        <f aca="false">IFERROR(INDEX(Website!$B:$B,MATCH($A21,Website!$A:$A,0)),0)</f>
        <v>1667</v>
      </c>
      <c r="I21" s="24" t="n">
        <f aca="false">IFERROR(INDEX(Airbnb!$C:$C,MATCH($A21,Airbnb!$A:$A,0)),0)</f>
        <v>9</v>
      </c>
      <c r="J21" s="24" t="n">
        <f aca="false">H21+I21</f>
        <v>1676</v>
      </c>
      <c r="K21" s="24" t="n">
        <f aca="false">IFERROR(INDEX(Airbnb!$D:$D,MATCH($A21,Airbnb!$A:$A,0)),0)</f>
        <v>0</v>
      </c>
      <c r="L21" s="24" t="n">
        <f aca="false">IFERROR(INDEX(Airbnb!$E:$E,MATCH($A21,Airbnb!$A:$A,0)),0)</f>
        <v>0</v>
      </c>
      <c r="M21" s="25" t="n">
        <f aca="false">IFERROR(INDEX(Airbnb!$G:$G,MATCH($A21,Airbnb!$A:$A,0)),0)</f>
        <v>0</v>
      </c>
    </row>
    <row r="22" customFormat="false" ht="15" hidden="false" customHeight="true" outlineLevel="0" collapsed="false">
      <c r="A22" s="20" t="n">
        <f aca="false">Facebook!A21</f>
        <v>45786</v>
      </c>
      <c r="B22" s="21" t="n">
        <f aca="false">IFERROR(INDEX(Facebook!$F:$F,MATCH($A22,Facebook!$A:$A,0)),0)</f>
        <v>33</v>
      </c>
      <c r="C22" s="21" t="n">
        <f aca="false">IFERROR(INDEX(Instagram!$F:$F,MATCH($A22,Instagram!$A:$A,0)),0)</f>
        <v>125</v>
      </c>
      <c r="D22" s="21" t="n">
        <f aca="false">B22+C22</f>
        <v>158</v>
      </c>
      <c r="E22" s="21" t="n">
        <f aca="false">IFERROR(INDEX(Facebook!$E:$E,MATCH($A22,Facebook!$A:$A,0)),0)</f>
        <v>5</v>
      </c>
      <c r="F22" s="21" t="n">
        <f aca="false">IFERROR(INDEX(Instagram!$E:$E,MATCH($A22,Instagram!$A:$A,0)),0)</f>
        <v>5</v>
      </c>
      <c r="G22" s="21" t="n">
        <f aca="false">E22+F22</f>
        <v>10</v>
      </c>
      <c r="H22" s="21" t="n">
        <f aca="false">IFERROR(INDEX(Website!$B:$B,MATCH($A22,Website!$A:$A,0)),0)</f>
        <v>1889</v>
      </c>
      <c r="I22" s="21" t="n">
        <f aca="false">IFERROR(INDEX(Airbnb!$C:$C,MATCH($A22,Airbnb!$A:$A,0)),0)</f>
        <v>11</v>
      </c>
      <c r="J22" s="21" t="n">
        <f aca="false">H22+I22</f>
        <v>1900</v>
      </c>
      <c r="K22" s="21" t="n">
        <f aca="false">IFERROR(INDEX(Airbnb!$D:$D,MATCH($A22,Airbnb!$A:$A,0)),0)</f>
        <v>0</v>
      </c>
      <c r="L22" s="21" t="n">
        <f aca="false">IFERROR(INDEX(Airbnb!$E:$E,MATCH($A22,Airbnb!$A:$A,0)),0)</f>
        <v>0</v>
      </c>
      <c r="M22" s="22" t="n">
        <f aca="false">IFERROR(INDEX(Airbnb!$G:$G,MATCH($A22,Airbnb!$A:$A,0)),0)</f>
        <v>0</v>
      </c>
    </row>
    <row r="23" customFormat="false" ht="15" hidden="false" customHeight="true" outlineLevel="0" collapsed="false">
      <c r="A23" s="23" t="n">
        <f aca="false">Facebook!A22</f>
        <v>45793</v>
      </c>
      <c r="B23" s="24" t="n">
        <f aca="false">IFERROR(INDEX(Facebook!$F:$F,MATCH($A23,Facebook!$A:$A,0)),0)</f>
        <v>244</v>
      </c>
      <c r="C23" s="24" t="n">
        <f aca="false">IFERROR(INDEX(Instagram!$F:$F,MATCH($A23,Instagram!$A:$A,0)),0)</f>
        <v>25</v>
      </c>
      <c r="D23" s="24" t="n">
        <f aca="false">B23+C23</f>
        <v>269</v>
      </c>
      <c r="E23" s="24" t="n">
        <f aca="false">IFERROR(INDEX(Facebook!$E:$E,MATCH($A23,Facebook!$A:$A,0)),0)</f>
        <v>10</v>
      </c>
      <c r="F23" s="24" t="n">
        <f aca="false">IFERROR(INDEX(Instagram!$E:$E,MATCH($A23,Instagram!$A:$A,0)),0)</f>
        <v>6</v>
      </c>
      <c r="G23" s="24" t="n">
        <f aca="false">E23+F23</f>
        <v>16</v>
      </c>
      <c r="H23" s="24" t="n">
        <f aca="false">IFERROR(INDEX(Website!$B:$B,MATCH($A23,Website!$A:$A,0)),0)</f>
        <v>1997</v>
      </c>
      <c r="I23" s="24" t="n">
        <f aca="false">IFERROR(INDEX(Airbnb!$C:$C,MATCH($A23,Airbnb!$A:$A,0)),0)</f>
        <v>12</v>
      </c>
      <c r="J23" s="24" t="n">
        <f aca="false">H23+I23</f>
        <v>2009</v>
      </c>
      <c r="K23" s="24" t="n">
        <f aca="false">IFERROR(INDEX(Airbnb!$D:$D,MATCH($A23,Airbnb!$A:$A,0)),0)</f>
        <v>0</v>
      </c>
      <c r="L23" s="24" t="n">
        <f aca="false">IFERROR(INDEX(Airbnb!$E:$E,MATCH($A23,Airbnb!$A:$A,0)),0)</f>
        <v>0</v>
      </c>
      <c r="M23" s="25" t="n">
        <f aca="false">IFERROR(INDEX(Airbnb!$G:$G,MATCH($A23,Airbnb!$A:$A,0)),0)</f>
        <v>0</v>
      </c>
    </row>
    <row r="24" customFormat="false" ht="15" hidden="false" customHeight="true" outlineLevel="0" collapsed="false">
      <c r="A24" s="20" t="n">
        <f aca="false">Facebook!A23</f>
        <v>45800</v>
      </c>
      <c r="B24" s="21" t="n">
        <f aca="false">IFERROR(INDEX(Facebook!$F:$F,MATCH($A24,Facebook!$A:$A,0)),0)</f>
        <v>52</v>
      </c>
      <c r="C24" s="21" t="n">
        <f aca="false">IFERROR(INDEX(Instagram!$F:$F,MATCH($A24,Instagram!$A:$A,0)),0)</f>
        <v>272</v>
      </c>
      <c r="D24" s="21" t="n">
        <f aca="false">B24+C24</f>
        <v>324</v>
      </c>
      <c r="E24" s="21" t="n">
        <f aca="false">IFERROR(INDEX(Facebook!$E:$E,MATCH($A24,Facebook!$A:$A,0)),0)</f>
        <v>5</v>
      </c>
      <c r="F24" s="21" t="n">
        <f aca="false">IFERROR(INDEX(Instagram!$E:$E,MATCH($A24,Instagram!$A:$A,0)),0)</f>
        <v>6</v>
      </c>
      <c r="G24" s="21" t="n">
        <f aca="false">E24+F24</f>
        <v>11</v>
      </c>
      <c r="H24" s="21" t="n">
        <f aca="false">IFERROR(INDEX(Website!$B:$B,MATCH($A24,Website!$A:$A,0)),0)</f>
        <v>2003</v>
      </c>
      <c r="I24" s="21" t="n">
        <f aca="false">IFERROR(INDEX(Airbnb!$C:$C,MATCH($A24,Airbnb!$A:$A,0)),0)</f>
        <v>10</v>
      </c>
      <c r="J24" s="21" t="n">
        <f aca="false">H24+I24</f>
        <v>2013</v>
      </c>
      <c r="K24" s="21" t="n">
        <f aca="false">IFERROR(INDEX(Airbnb!$D:$D,MATCH($A24,Airbnb!$A:$A,0)),0)</f>
        <v>0</v>
      </c>
      <c r="L24" s="21" t="n">
        <f aca="false">IFERROR(INDEX(Airbnb!$E:$E,MATCH($A24,Airbnb!$A:$A,0)),0)</f>
        <v>0</v>
      </c>
      <c r="M24" s="22" t="n">
        <f aca="false">IFERROR(INDEX(Airbnb!$G:$G,MATCH($A24,Airbnb!$A:$A,0)),0)</f>
        <v>0</v>
      </c>
    </row>
    <row r="25" customFormat="false" ht="15" hidden="false" customHeight="true" outlineLevel="0" collapsed="false">
      <c r="A25" s="23" t="n">
        <f aca="false">Facebook!A24</f>
        <v>45807</v>
      </c>
      <c r="B25" s="24" t="n">
        <f aca="false">IFERROR(INDEX(Facebook!$F:$F,MATCH($A25,Facebook!$A:$A,0)),0)</f>
        <v>50</v>
      </c>
      <c r="C25" s="24" t="n">
        <f aca="false">IFERROR(INDEX(Instagram!$F:$F,MATCH($A25,Instagram!$A:$A,0)),0)</f>
        <v>121</v>
      </c>
      <c r="D25" s="24" t="n">
        <f aca="false">B25+C25</f>
        <v>171</v>
      </c>
      <c r="E25" s="24" t="n">
        <f aca="false">IFERROR(INDEX(Facebook!$E:$E,MATCH($A25,Facebook!$A:$A,0)),0)</f>
        <v>10</v>
      </c>
      <c r="F25" s="24" t="n">
        <f aca="false">IFERROR(INDEX(Instagram!$E:$E,MATCH($A25,Instagram!$A:$A,0)),0)</f>
        <v>10</v>
      </c>
      <c r="G25" s="24" t="n">
        <f aca="false">E25+F25</f>
        <v>20</v>
      </c>
      <c r="H25" s="24" t="n">
        <f aca="false">IFERROR(INDEX(Website!$B:$B,MATCH($A25,Website!$A:$A,0)),0)</f>
        <v>2258</v>
      </c>
      <c r="I25" s="24" t="n">
        <f aca="false">IFERROR(INDEX(Airbnb!$C:$C,MATCH($A25,Airbnb!$A:$A,0)),0)</f>
        <v>9</v>
      </c>
      <c r="J25" s="24" t="n">
        <f aca="false">H25+I25</f>
        <v>2267</v>
      </c>
      <c r="K25" s="24" t="n">
        <f aca="false">IFERROR(INDEX(Airbnb!$D:$D,MATCH($A25,Airbnb!$A:$A,0)),0)</f>
        <v>0</v>
      </c>
      <c r="L25" s="24" t="n">
        <f aca="false">IFERROR(INDEX(Airbnb!$E:$E,MATCH($A25,Airbnb!$A:$A,0)),0)</f>
        <v>0</v>
      </c>
      <c r="M25" s="25" t="n">
        <f aca="false">IFERROR(INDEX(Airbnb!$G:$G,MATCH($A25,Airbnb!$A:$A,0)),0)</f>
        <v>0</v>
      </c>
    </row>
    <row r="26" customFormat="false" ht="15" hidden="false" customHeight="true" outlineLevel="0" collapsed="false">
      <c r="A26" s="20" t="n">
        <f aca="false">Facebook!A25</f>
        <v>45814</v>
      </c>
      <c r="B26" s="21" t="n">
        <f aca="false">IFERROR(INDEX(Facebook!$F:$F,MATCH($A26,Facebook!$A:$A,0)),0)</f>
        <v>55</v>
      </c>
      <c r="C26" s="21" t="n">
        <f aca="false">IFERROR(INDEX(Instagram!$F:$F,MATCH($A26,Instagram!$A:$A,0)),0)</f>
        <v>78</v>
      </c>
      <c r="D26" s="21" t="n">
        <f aca="false">B26+C26</f>
        <v>133</v>
      </c>
      <c r="E26" s="21" t="n">
        <f aca="false">IFERROR(INDEX(Facebook!$E:$E,MATCH($A26,Facebook!$A:$A,0)),0)</f>
        <v>20</v>
      </c>
      <c r="F26" s="21" t="n">
        <f aca="false">IFERROR(INDEX(Instagram!$E:$E,MATCH($A26,Instagram!$A:$A,0)),0)</f>
        <v>12</v>
      </c>
      <c r="G26" s="21" t="n">
        <f aca="false">E26+F26</f>
        <v>32</v>
      </c>
      <c r="H26" s="21" t="n">
        <f aca="false">IFERROR(INDEX(Website!$B:$B,MATCH($A26,Website!$A:$A,0)),0)</f>
        <v>2245</v>
      </c>
      <c r="I26" s="21" t="n">
        <f aca="false">IFERROR(INDEX(Airbnb!$C:$C,MATCH($A26,Airbnb!$A:$A,0)),0)</f>
        <v>3</v>
      </c>
      <c r="J26" s="21" t="n">
        <f aca="false">H26+I26</f>
        <v>2248</v>
      </c>
      <c r="K26" s="21" t="n">
        <f aca="false">IFERROR(INDEX(Airbnb!$D:$D,MATCH($A26,Airbnb!$A:$A,0)),0)</f>
        <v>0</v>
      </c>
      <c r="L26" s="21" t="n">
        <f aca="false">IFERROR(INDEX(Airbnb!$E:$E,MATCH($A26,Airbnb!$A:$A,0)),0)</f>
        <v>0</v>
      </c>
      <c r="M26" s="22" t="n">
        <f aca="false">IFERROR(INDEX(Airbnb!$G:$G,MATCH($A26,Airbnb!$A:$A,0)),0)</f>
        <v>0</v>
      </c>
    </row>
    <row r="27" customFormat="false" ht="15" hidden="false" customHeight="true" outlineLevel="0" collapsed="false">
      <c r="A27" s="23" t="n">
        <f aca="false">Facebook!A26</f>
        <v>45821</v>
      </c>
      <c r="B27" s="24" t="n">
        <f aca="false">IFERROR(INDEX(Facebook!$F:$F,MATCH($A27,Facebook!$A:$A,0)),0)</f>
        <v>34</v>
      </c>
      <c r="C27" s="24" t="n">
        <f aca="false">IFERROR(INDEX(Instagram!$F:$F,MATCH($A27,Instagram!$A:$A,0)),0)</f>
        <v>89</v>
      </c>
      <c r="D27" s="24" t="n">
        <f aca="false">B27+C27</f>
        <v>123</v>
      </c>
      <c r="E27" s="24" t="n">
        <f aca="false">IFERROR(INDEX(Facebook!$E:$E,MATCH($A27,Facebook!$A:$A,0)),0)</f>
        <v>11</v>
      </c>
      <c r="F27" s="24" t="n">
        <f aca="false">IFERROR(INDEX(Instagram!$E:$E,MATCH($A27,Instagram!$A:$A,0)),0)</f>
        <v>7</v>
      </c>
      <c r="G27" s="24" t="n">
        <f aca="false">E27+F27</f>
        <v>18</v>
      </c>
      <c r="H27" s="24" t="n">
        <f aca="false">IFERROR(INDEX(Website!$B:$B,MATCH($A27,Website!$A:$A,0)),0)</f>
        <v>2237</v>
      </c>
      <c r="I27" s="24" t="n">
        <f aca="false">IFERROR(INDEX(Airbnb!$C:$C,MATCH($A27,Airbnb!$A:$A,0)),0)</f>
        <v>2</v>
      </c>
      <c r="J27" s="24" t="n">
        <f aca="false">H27+I27</f>
        <v>2239</v>
      </c>
      <c r="K27" s="24" t="n">
        <f aca="false">IFERROR(INDEX(Airbnb!$D:$D,MATCH($A27,Airbnb!$A:$A,0)),0)</f>
        <v>0</v>
      </c>
      <c r="L27" s="24" t="n">
        <f aca="false">IFERROR(INDEX(Airbnb!$E:$E,MATCH($A27,Airbnb!$A:$A,0)),0)</f>
        <v>0</v>
      </c>
      <c r="M27" s="25" t="n">
        <f aca="false">IFERROR(INDEX(Airbnb!$G:$G,MATCH($A27,Airbnb!$A:$A,0)),0)</f>
        <v>0</v>
      </c>
    </row>
    <row r="28" customFormat="false" ht="15" hidden="false" customHeight="true" outlineLevel="0" collapsed="false">
      <c r="A28" s="20" t="n">
        <f aca="false">Facebook!A27</f>
        <v>45828</v>
      </c>
      <c r="B28" s="21" t="n">
        <f aca="false">IFERROR(INDEX(Facebook!$F:$F,MATCH($A28,Facebook!$A:$A,0)),0)</f>
        <v>56</v>
      </c>
      <c r="C28" s="21" t="n">
        <f aca="false">IFERROR(INDEX(Instagram!$F:$F,MATCH($A28,Instagram!$A:$A,0)),0)</f>
        <v>90</v>
      </c>
      <c r="D28" s="21" t="n">
        <f aca="false">B28+C28</f>
        <v>146</v>
      </c>
      <c r="E28" s="21" t="n">
        <f aca="false">IFERROR(INDEX(Facebook!$E:$E,MATCH($A28,Facebook!$A:$A,0)),0)</f>
        <v>20</v>
      </c>
      <c r="F28" s="21" t="n">
        <f aca="false">IFERROR(INDEX(Instagram!$E:$E,MATCH($A28,Instagram!$A:$A,0)),0)</f>
        <v>12</v>
      </c>
      <c r="G28" s="21" t="n">
        <f aca="false">E28+F28</f>
        <v>32</v>
      </c>
      <c r="H28" s="21" t="n">
        <f aca="false">IFERROR(INDEX(Website!$B:$B,MATCH($A28,Website!$A:$A,0)),0)</f>
        <v>2337</v>
      </c>
      <c r="I28" s="21" t="n">
        <f aca="false">IFERROR(INDEX(Airbnb!$C:$C,MATCH($A28,Airbnb!$A:$A,0)),0)</f>
        <v>8</v>
      </c>
      <c r="J28" s="21" t="n">
        <f aca="false">H28+I28</f>
        <v>2345</v>
      </c>
      <c r="K28" s="21" t="n">
        <f aca="false">IFERROR(INDEX(Airbnb!$D:$D,MATCH($A28,Airbnb!$A:$A,0)),0)</f>
        <v>0</v>
      </c>
      <c r="L28" s="21" t="n">
        <f aca="false">IFERROR(INDEX(Airbnb!$E:$E,MATCH($A28,Airbnb!$A:$A,0)),0)</f>
        <v>0</v>
      </c>
      <c r="M28" s="22" t="n">
        <f aca="false">IFERROR(INDEX(Airbnb!$G:$G,MATCH($A28,Airbnb!$A:$A,0)),0)</f>
        <v>0</v>
      </c>
    </row>
    <row r="29" customFormat="false" ht="15" hidden="false" customHeight="true" outlineLevel="0" collapsed="false">
      <c r="A29" s="23" t="n">
        <f aca="false">Facebook!A28</f>
        <v>45835</v>
      </c>
      <c r="B29" s="24" t="n">
        <f aca="false">IFERROR(INDEX(Facebook!$F:$F,MATCH($A29,Facebook!$A:$A,0)),0)</f>
        <v>50</v>
      </c>
      <c r="C29" s="24" t="n">
        <f aca="false">IFERROR(INDEX(Instagram!$F:$F,MATCH($A29,Instagram!$A:$A,0)),0)</f>
        <v>70</v>
      </c>
      <c r="D29" s="24" t="n">
        <f aca="false">B29+C29</f>
        <v>120</v>
      </c>
      <c r="E29" s="24" t="n">
        <f aca="false">IFERROR(INDEX(Facebook!$E:$E,MATCH($A29,Facebook!$A:$A,0)),0)</f>
        <v>22</v>
      </c>
      <c r="F29" s="24" t="n">
        <f aca="false">IFERROR(INDEX(Instagram!$E:$E,MATCH($A29,Instagram!$A:$A,0)),0)</f>
        <v>25</v>
      </c>
      <c r="G29" s="24" t="n">
        <f aca="false">E29+F29</f>
        <v>47</v>
      </c>
      <c r="H29" s="24" t="n">
        <f aca="false">IFERROR(INDEX(Website!$B:$B,MATCH($A29,Website!$A:$A,0)),0)</f>
        <v>2376</v>
      </c>
      <c r="I29" s="24" t="n">
        <f aca="false">IFERROR(INDEX(Airbnb!$C:$C,MATCH($A29,Airbnb!$A:$A,0)),0)</f>
        <v>5</v>
      </c>
      <c r="J29" s="24" t="n">
        <f aca="false">H29+I29</f>
        <v>2381</v>
      </c>
      <c r="K29" s="24" t="n">
        <f aca="false">IFERROR(INDEX(Airbnb!$D:$D,MATCH($A29,Airbnb!$A:$A,0)),0)</f>
        <v>0</v>
      </c>
      <c r="L29" s="24" t="n">
        <f aca="false">IFERROR(INDEX(Airbnb!$E:$E,MATCH($A29,Airbnb!$A:$A,0)),0)</f>
        <v>0</v>
      </c>
      <c r="M29" s="25" t="n">
        <f aca="false">IFERROR(INDEX(Airbnb!$G:$G,MATCH($A29,Airbnb!$A:$A,0)),0)</f>
        <v>0</v>
      </c>
    </row>
    <row r="30" customFormat="false" ht="15" hidden="false" customHeight="true" outlineLevel="0" collapsed="false">
      <c r="A30" s="20" t="n">
        <f aca="false">Facebook!A29</f>
        <v>45842</v>
      </c>
      <c r="B30" s="21" t="n">
        <f aca="false">IFERROR(INDEX(Facebook!$F:$F,MATCH($A30,Facebook!$A:$A,0)),0)</f>
        <v>34</v>
      </c>
      <c r="C30" s="21" t="n">
        <f aca="false">IFERROR(INDEX(Instagram!$F:$F,MATCH($A30,Instagram!$A:$A,0)),0)</f>
        <v>30</v>
      </c>
      <c r="D30" s="21" t="n">
        <f aca="false">B30+C30</f>
        <v>64</v>
      </c>
      <c r="E30" s="21" t="n">
        <f aca="false">IFERROR(INDEX(Facebook!$E:$E,MATCH($A30,Facebook!$A:$A,0)),0)</f>
        <v>59</v>
      </c>
      <c r="F30" s="21" t="n">
        <f aca="false">IFERROR(INDEX(Instagram!$E:$E,MATCH($A30,Instagram!$A:$A,0)),0)</f>
        <v>8</v>
      </c>
      <c r="G30" s="21" t="n">
        <f aca="false">E30+F30</f>
        <v>67</v>
      </c>
      <c r="H30" s="21" t="n">
        <f aca="false">IFERROR(INDEX(Website!$B:$B,MATCH($A30,Website!$A:$A,0)),0)</f>
        <v>2380</v>
      </c>
      <c r="I30" s="21" t="n">
        <f aca="false">IFERROR(INDEX(Airbnb!$C:$C,MATCH($A30,Airbnb!$A:$A,0)),0)</f>
        <v>12</v>
      </c>
      <c r="J30" s="21" t="n">
        <f aca="false">H30+I30</f>
        <v>2392</v>
      </c>
      <c r="K30" s="21" t="n">
        <f aca="false">IFERROR(INDEX(Airbnb!$D:$D,MATCH($A30,Airbnb!$A:$A,0)),0)</f>
        <v>1</v>
      </c>
      <c r="L30" s="21" t="n">
        <f aca="false">IFERROR(INDEX(Airbnb!$E:$E,MATCH($A30,Airbnb!$A:$A,0)),0)</f>
        <v>1</v>
      </c>
      <c r="M30" s="22" t="n">
        <f aca="false">IFERROR(INDEX(Airbnb!$G:$G,MATCH($A30,Airbnb!$A:$A,0)),0)</f>
        <v>257</v>
      </c>
    </row>
    <row r="31" customFormat="false" ht="15" hidden="false" customHeight="true" outlineLevel="0" collapsed="false">
      <c r="A31" s="23" t="n">
        <f aca="false">Facebook!A30</f>
        <v>45849</v>
      </c>
      <c r="B31" s="24" t="n">
        <f aca="false">IFERROR(INDEX(Facebook!$F:$F,MATCH($A31,Facebook!$A:$A,0)),0)</f>
        <v>32</v>
      </c>
      <c r="C31" s="24" t="n">
        <f aca="false">IFERROR(INDEX(Instagram!$F:$F,MATCH($A31,Instagram!$A:$A,0)),0)</f>
        <v>45</v>
      </c>
      <c r="D31" s="24" t="n">
        <f aca="false">B31+C31</f>
        <v>77</v>
      </c>
      <c r="E31" s="24" t="n">
        <f aca="false">IFERROR(INDEX(Facebook!$E:$E,MATCH($A31,Facebook!$A:$A,0)),0)</f>
        <v>23</v>
      </c>
      <c r="F31" s="24" t="n">
        <f aca="false">IFERROR(INDEX(Instagram!$E:$E,MATCH($A31,Instagram!$A:$A,0)),0)</f>
        <v>13</v>
      </c>
      <c r="G31" s="24" t="n">
        <f aca="false">E31+F31</f>
        <v>36</v>
      </c>
      <c r="H31" s="24" t="n">
        <f aca="false">IFERROR(INDEX(Website!$B:$B,MATCH($A31,Website!$A:$A,0)),0)</f>
        <v>2390</v>
      </c>
      <c r="I31" s="24" t="n">
        <f aca="false">IFERROR(INDEX(Airbnb!$C:$C,MATCH($A31,Airbnb!$A:$A,0)),0)</f>
        <v>10</v>
      </c>
      <c r="J31" s="24" t="n">
        <f aca="false">H31+I31</f>
        <v>2400</v>
      </c>
      <c r="K31" s="24" t="n">
        <f aca="false">IFERROR(INDEX(Airbnb!$D:$D,MATCH($A31,Airbnb!$A:$A,0)),0)</f>
        <v>1</v>
      </c>
      <c r="L31" s="24" t="n">
        <f aca="false">IFERROR(INDEX(Airbnb!$E:$E,MATCH($A31,Airbnb!$A:$A,0)),0)</f>
        <v>1</v>
      </c>
      <c r="M31" s="25" t="n">
        <f aca="false">IFERROR(INDEX(Airbnb!$G:$G,MATCH($A31,Airbnb!$A:$A,0)),0)</f>
        <v>515</v>
      </c>
    </row>
    <row r="32" customFormat="false" ht="15" hidden="false" customHeight="true" outlineLevel="0" collapsed="false">
      <c r="A32" s="20" t="n">
        <f aca="false">Facebook!A31</f>
        <v>45856</v>
      </c>
      <c r="B32" s="21" t="n">
        <f aca="false">IFERROR(INDEX(Facebook!$F:$F,MATCH($A32,Facebook!$A:$A,0)),0)</f>
        <v>43</v>
      </c>
      <c r="C32" s="21" t="n">
        <f aca="false">IFERROR(INDEX(Instagram!$F:$F,MATCH($A32,Instagram!$A:$A,0)),0)</f>
        <v>43</v>
      </c>
      <c r="D32" s="21" t="n">
        <f aca="false">B32+C32</f>
        <v>86</v>
      </c>
      <c r="E32" s="21" t="n">
        <f aca="false">IFERROR(INDEX(Facebook!$E:$E,MATCH($A32,Facebook!$A:$A,0)),0)</f>
        <v>25</v>
      </c>
      <c r="F32" s="21" t="n">
        <f aca="false">IFERROR(INDEX(Instagram!$E:$E,MATCH($A32,Instagram!$A:$A,0)),0)</f>
        <v>14</v>
      </c>
      <c r="G32" s="21" t="n">
        <f aca="false">E32+F32</f>
        <v>39</v>
      </c>
      <c r="H32" s="21" t="n">
        <f aca="false">IFERROR(INDEX(Website!$B:$B,MATCH($A32,Website!$A:$A,0)),0)</f>
        <v>2395</v>
      </c>
      <c r="I32" s="21" t="n">
        <f aca="false">IFERROR(INDEX(Airbnb!$C:$C,MATCH($A32,Airbnb!$A:$A,0)),0)</f>
        <v>11</v>
      </c>
      <c r="J32" s="21" t="n">
        <f aca="false">H32+I32</f>
        <v>2406</v>
      </c>
      <c r="K32" s="21" t="n">
        <f aca="false">IFERROR(INDEX(Airbnb!$D:$D,MATCH($A32,Airbnb!$A:$A,0)),0)</f>
        <v>0</v>
      </c>
      <c r="L32" s="21" t="n">
        <f aca="false">IFERROR(INDEX(Airbnb!$E:$E,MATCH($A32,Airbnb!$A:$A,0)),0)</f>
        <v>0</v>
      </c>
      <c r="M32" s="22" t="n">
        <f aca="false">IFERROR(INDEX(Airbnb!$G:$G,MATCH($A32,Airbnb!$A:$A,0)),0)</f>
        <v>0</v>
      </c>
    </row>
    <row r="33" customFormat="false" ht="15" hidden="false" customHeight="true" outlineLevel="0" collapsed="false">
      <c r="A33" s="23" t="n">
        <f aca="false">Facebook!A32</f>
        <v>45863</v>
      </c>
      <c r="B33" s="24" t="n">
        <f aca="false">IFERROR(INDEX(Facebook!$F:$F,MATCH($A33,Facebook!$A:$A,0)),0)</f>
        <v>23</v>
      </c>
      <c r="C33" s="24" t="n">
        <f aca="false">IFERROR(INDEX(Instagram!$F:$F,MATCH($A33,Instagram!$A:$A,0)),0)</f>
        <v>65</v>
      </c>
      <c r="D33" s="24" t="n">
        <f aca="false">B33+C33</f>
        <v>88</v>
      </c>
      <c r="E33" s="24" t="n">
        <f aca="false">IFERROR(INDEX(Facebook!$E:$E,MATCH($A33,Facebook!$A:$A,0)),0)</f>
        <v>24</v>
      </c>
      <c r="F33" s="24" t="n">
        <f aca="false">IFERROR(INDEX(Instagram!$E:$E,MATCH($A33,Instagram!$A:$A,0)),0)</f>
        <v>11</v>
      </c>
      <c r="G33" s="24" t="n">
        <f aca="false">E33+F33</f>
        <v>35</v>
      </c>
      <c r="H33" s="24" t="n">
        <f aca="false">IFERROR(INDEX(Website!$B:$B,MATCH($A33,Website!$A:$A,0)),0)</f>
        <v>2457</v>
      </c>
      <c r="I33" s="24" t="n">
        <f aca="false">IFERROR(INDEX(Airbnb!$C:$C,MATCH($A33,Airbnb!$A:$A,0)),0)</f>
        <v>12</v>
      </c>
      <c r="J33" s="24" t="n">
        <f aca="false">H33+I33</f>
        <v>2469</v>
      </c>
      <c r="K33" s="24" t="n">
        <f aca="false">IFERROR(INDEX(Airbnb!$D:$D,MATCH($A33,Airbnb!$A:$A,0)),0)</f>
        <v>0</v>
      </c>
      <c r="L33" s="24" t="n">
        <f aca="false">IFERROR(INDEX(Airbnb!$E:$E,MATCH($A33,Airbnb!$A:$A,0)),0)</f>
        <v>0</v>
      </c>
      <c r="M33" s="25" t="n">
        <f aca="false">IFERROR(INDEX(Airbnb!$G:$G,MATCH($A33,Airbnb!$A:$A,0)),0)</f>
        <v>0</v>
      </c>
    </row>
    <row r="34" customFormat="false" ht="15" hidden="false" customHeight="true" outlineLevel="0" collapsed="false">
      <c r="A34" s="20" t="n">
        <f aca="false">Facebook!A33</f>
        <v>45870</v>
      </c>
      <c r="B34" s="21" t="n">
        <f aca="false">IFERROR(INDEX(Facebook!$F:$F,MATCH($A34,Facebook!$A:$A,0)),0)</f>
        <v>45</v>
      </c>
      <c r="C34" s="21" t="n">
        <f aca="false">IFERROR(INDEX(Instagram!$F:$F,MATCH($A34,Instagram!$A:$A,0)),0)</f>
        <v>55</v>
      </c>
      <c r="D34" s="21" t="n">
        <f aca="false">B34+C34</f>
        <v>100</v>
      </c>
      <c r="E34" s="21" t="n">
        <f aca="false">IFERROR(INDEX(Facebook!$E:$E,MATCH($A34,Facebook!$A:$A,0)),0)</f>
        <v>22</v>
      </c>
      <c r="F34" s="21" t="n">
        <f aca="false">IFERROR(INDEX(Instagram!$E:$E,MATCH($A34,Instagram!$A:$A,0)),0)</f>
        <v>17</v>
      </c>
      <c r="G34" s="21" t="n">
        <f aca="false">E34+F34</f>
        <v>39</v>
      </c>
      <c r="H34" s="21" t="n">
        <f aca="false">IFERROR(INDEX(Website!$B:$B,MATCH($A34,Website!$A:$A,0)),0)</f>
        <v>2464</v>
      </c>
      <c r="I34" s="21" t="n">
        <f aca="false">IFERROR(INDEX(Airbnb!$C:$C,MATCH($A34,Airbnb!$A:$A,0)),0)</f>
        <v>11</v>
      </c>
      <c r="J34" s="21" t="n">
        <f aca="false">H34+I34</f>
        <v>2475</v>
      </c>
      <c r="K34" s="21" t="n">
        <f aca="false">IFERROR(INDEX(Airbnb!$D:$D,MATCH($A34,Airbnb!$A:$A,0)),0)</f>
        <v>0</v>
      </c>
      <c r="L34" s="21" t="n">
        <f aca="false">IFERROR(INDEX(Airbnb!$E:$E,MATCH($A34,Airbnb!$A:$A,0)),0)</f>
        <v>0</v>
      </c>
      <c r="M34" s="22" t="n">
        <f aca="false">IFERROR(INDEX(Airbnb!$G:$G,MATCH($A34,Airbnb!$A:$A,0)),0)</f>
        <v>0</v>
      </c>
    </row>
    <row r="35" customFormat="false" ht="15" hidden="false" customHeight="true" outlineLevel="0" collapsed="false">
      <c r="A35" s="23" t="n">
        <f aca="false">Facebook!A34</f>
        <v>45877</v>
      </c>
      <c r="B35" s="24" t="n">
        <f aca="false">IFERROR(INDEX(Facebook!$F:$F,MATCH($A35,Facebook!$A:$A,0)),0)</f>
        <v>24</v>
      </c>
      <c r="C35" s="24" t="n">
        <f aca="false">IFERROR(INDEX(Instagram!$F:$F,MATCH($A35,Instagram!$A:$A,0)),0)</f>
        <v>34</v>
      </c>
      <c r="D35" s="24" t="n">
        <f aca="false">B35+C35</f>
        <v>58</v>
      </c>
      <c r="E35" s="24" t="n">
        <f aca="false">IFERROR(INDEX(Facebook!$E:$E,MATCH($A35,Facebook!$A:$A,0)),0)</f>
        <v>11</v>
      </c>
      <c r="F35" s="24" t="n">
        <f aca="false">IFERROR(INDEX(Instagram!$E:$E,MATCH($A35,Instagram!$A:$A,0)),0)</f>
        <v>7</v>
      </c>
      <c r="G35" s="24" t="n">
        <f aca="false">E35+F35</f>
        <v>18</v>
      </c>
      <c r="H35" s="24" t="n">
        <f aca="false">IFERROR(INDEX(Website!$B:$B,MATCH($A35,Website!$A:$A,0)),0)</f>
        <v>2498</v>
      </c>
      <c r="I35" s="24" t="n">
        <f aca="false">IFERROR(INDEX(Airbnb!$C:$C,MATCH($A35,Airbnb!$A:$A,0)),0)</f>
        <v>10</v>
      </c>
      <c r="J35" s="24" t="n">
        <f aca="false">H35+I35</f>
        <v>2508</v>
      </c>
      <c r="K35" s="24" t="n">
        <f aca="false">IFERROR(INDEX(Airbnb!$D:$D,MATCH($A35,Airbnb!$A:$A,0)),0)</f>
        <v>1</v>
      </c>
      <c r="L35" s="24" t="n">
        <f aca="false">IFERROR(INDEX(Airbnb!$E:$E,MATCH($A35,Airbnb!$A:$A,0)),0)</f>
        <v>1</v>
      </c>
      <c r="M35" s="25" t="n">
        <f aca="false">IFERROR(INDEX(Airbnb!$G:$G,MATCH($A35,Airbnb!$A:$A,0)),0)</f>
        <v>891</v>
      </c>
    </row>
    <row r="36" customFormat="false" ht="15" hidden="false" customHeight="true" outlineLevel="0" collapsed="false">
      <c r="A36" s="20" t="n">
        <f aca="false">Facebook!A35</f>
        <v>45884</v>
      </c>
      <c r="B36" s="21" t="n">
        <f aca="false">IFERROR(INDEX(Facebook!$F:$F,MATCH($A36,Facebook!$A:$A,0)),0)</f>
        <v>23</v>
      </c>
      <c r="C36" s="21" t="n">
        <f aca="false">IFERROR(INDEX(Instagram!$F:$F,MATCH($A36,Instagram!$A:$A,0)),0)</f>
        <v>20</v>
      </c>
      <c r="D36" s="21" t="n">
        <f aca="false">B36+C36</f>
        <v>43</v>
      </c>
      <c r="E36" s="21" t="n">
        <f aca="false">IFERROR(INDEX(Facebook!$E:$E,MATCH($A36,Facebook!$A:$A,0)),0)</f>
        <v>10</v>
      </c>
      <c r="F36" s="21" t="n">
        <f aca="false">IFERROR(INDEX(Instagram!$E:$E,MATCH($A36,Instagram!$A:$A,0)),0)</f>
        <v>6</v>
      </c>
      <c r="G36" s="21" t="n">
        <f aca="false">E36+F36</f>
        <v>16</v>
      </c>
      <c r="H36" s="21" t="n">
        <f aca="false">IFERROR(INDEX(Website!$B:$B,MATCH($A36,Website!$A:$A,0)),0)</f>
        <v>2500</v>
      </c>
      <c r="I36" s="21" t="n">
        <f aca="false">IFERROR(INDEX(Airbnb!$C:$C,MATCH($A36,Airbnb!$A:$A,0)),0)</f>
        <v>12</v>
      </c>
      <c r="J36" s="21" t="n">
        <f aca="false">H36+I36</f>
        <v>2512</v>
      </c>
      <c r="K36" s="21" t="n">
        <f aca="false">IFERROR(INDEX(Airbnb!$D:$D,MATCH($A36,Airbnb!$A:$A,0)),0)</f>
        <v>0</v>
      </c>
      <c r="L36" s="21" t="n">
        <f aca="false">IFERROR(INDEX(Airbnb!$E:$E,MATCH($A36,Airbnb!$A:$A,0)),0)</f>
        <v>0</v>
      </c>
      <c r="M36" s="22" t="n">
        <f aca="false">IFERROR(INDEX(Airbnb!$G:$G,MATCH($A36,Airbnb!$A:$A,0)),0)</f>
        <v>0</v>
      </c>
    </row>
    <row r="37" customFormat="false" ht="15" hidden="false" customHeight="true" outlineLevel="0" collapsed="false">
      <c r="A37" s="23" t="n">
        <f aca="false">Facebook!A36</f>
        <v>45891</v>
      </c>
      <c r="B37" s="24" t="n">
        <f aca="false">IFERROR(INDEX(Facebook!$F:$F,MATCH($A37,Facebook!$A:$A,0)),0)</f>
        <v>1</v>
      </c>
      <c r="C37" s="24" t="n">
        <f aca="false">IFERROR(INDEX(Instagram!$F:$F,MATCH($A37,Instagram!$A:$A,0)),0)</f>
        <v>11</v>
      </c>
      <c r="D37" s="24" t="n">
        <f aca="false">B37+C37</f>
        <v>12</v>
      </c>
      <c r="E37" s="24" t="n">
        <f aca="false">IFERROR(INDEX(Facebook!$E:$E,MATCH($A37,Facebook!$A:$A,0)),0)</f>
        <v>53</v>
      </c>
      <c r="F37" s="24" t="n">
        <f aca="false">IFERROR(INDEX(Instagram!$E:$E,MATCH($A37,Instagram!$A:$A,0)),0)</f>
        <v>140</v>
      </c>
      <c r="G37" s="24" t="n">
        <f aca="false">E37+F37</f>
        <v>193</v>
      </c>
      <c r="H37" s="24" t="n">
        <f aca="false">IFERROR(INDEX(Website!$B:$B,MATCH($A37,Website!$A:$A,0)),0)</f>
        <v>2530</v>
      </c>
      <c r="I37" s="24" t="n">
        <f aca="false">IFERROR(INDEX(Airbnb!$C:$C,MATCH($A37,Airbnb!$A:$A,0)),0)</f>
        <v>11</v>
      </c>
      <c r="J37" s="24" t="n">
        <f aca="false">H37+I37</f>
        <v>2541</v>
      </c>
      <c r="K37" s="24" t="n">
        <f aca="false">IFERROR(INDEX(Airbnb!$D:$D,MATCH($A37,Airbnb!$A:$A,0)),0)</f>
        <v>1</v>
      </c>
      <c r="L37" s="24" t="n">
        <f aca="false">IFERROR(INDEX(Airbnb!$E:$E,MATCH($A37,Airbnb!$A:$A,0)),0)</f>
        <v>0</v>
      </c>
      <c r="M37" s="25" t="n">
        <f aca="false">IFERROR(INDEX(Airbnb!$G:$G,MATCH($A37,Airbnb!$A:$A,0)),0)</f>
        <v>0</v>
      </c>
    </row>
    <row r="38" customFormat="false" ht="15" hidden="false" customHeight="true" outlineLevel="0" collapsed="false">
      <c r="A38" s="20" t="n">
        <f aca="false">Facebook!A37</f>
        <v>45898</v>
      </c>
      <c r="B38" s="21" t="n">
        <f aca="false">IFERROR(INDEX(Facebook!$F:$F,MATCH($A38,Facebook!$A:$A,0)),0)</f>
        <v>10</v>
      </c>
      <c r="C38" s="21" t="n">
        <f aca="false">IFERROR(INDEX(Instagram!$F:$F,MATCH($A38,Instagram!$A:$A,0)),0)</f>
        <v>11</v>
      </c>
      <c r="D38" s="21" t="n">
        <f aca="false">B38+C38</f>
        <v>21</v>
      </c>
      <c r="E38" s="21" t="n">
        <f aca="false">IFERROR(INDEX(Facebook!$E:$E,MATCH($A38,Facebook!$A:$A,0)),0)</f>
        <v>43</v>
      </c>
      <c r="F38" s="21" t="n">
        <f aca="false">IFERROR(INDEX(Instagram!$E:$E,MATCH($A38,Instagram!$A:$A,0)),0)</f>
        <v>135</v>
      </c>
      <c r="G38" s="21" t="n">
        <f aca="false">E38+F38</f>
        <v>178</v>
      </c>
      <c r="H38" s="21" t="n">
        <f aca="false">IFERROR(INDEX(Website!$B:$B,MATCH($A38,Website!$A:$A,0)),0)</f>
        <v>2535</v>
      </c>
      <c r="I38" s="21" t="n">
        <f aca="false">IFERROR(INDEX(Airbnb!$C:$C,MATCH($A38,Airbnb!$A:$A,0)),0)</f>
        <v>7</v>
      </c>
      <c r="J38" s="21" t="n">
        <f aca="false">H38+I38</f>
        <v>2542</v>
      </c>
      <c r="K38" s="21" t="n">
        <f aca="false">IFERROR(INDEX(Airbnb!$D:$D,MATCH($A38,Airbnb!$A:$A,0)),0)</f>
        <v>0</v>
      </c>
      <c r="L38" s="21" t="n">
        <f aca="false">IFERROR(INDEX(Airbnb!$E:$E,MATCH($A38,Airbnb!$A:$A,0)),0)</f>
        <v>0</v>
      </c>
      <c r="M38" s="22" t="n">
        <f aca="false">IFERROR(INDEX(Airbnb!$G:$G,MATCH($A38,Airbnb!$A:$A,0)),0)</f>
        <v>0</v>
      </c>
    </row>
    <row r="39" customFormat="false" ht="15" hidden="false" customHeight="true" outlineLevel="0" collapsed="false">
      <c r="A39" s="23" t="n">
        <f aca="false">Facebook!A38</f>
        <v>45905</v>
      </c>
      <c r="B39" s="24" t="n">
        <f aca="false">IFERROR(INDEX(Facebook!$F:$F,MATCH($A39,Facebook!$A:$A,0)),0)</f>
        <v>9</v>
      </c>
      <c r="C39" s="24" t="n">
        <f aca="false">IFERROR(INDEX(Instagram!$F:$F,MATCH($A39,Instagram!$A:$A,0)),0)</f>
        <v>13</v>
      </c>
      <c r="D39" s="24" t="n">
        <f aca="false">B39+C39</f>
        <v>22</v>
      </c>
      <c r="E39" s="24" t="n">
        <f aca="false">IFERROR(INDEX(Facebook!$E:$E,MATCH($A39,Facebook!$A:$A,0)),0)</f>
        <v>38</v>
      </c>
      <c r="F39" s="24" t="n">
        <f aca="false">IFERROR(INDEX(Instagram!$E:$E,MATCH($A39,Instagram!$A:$A,0)),0)</f>
        <v>7</v>
      </c>
      <c r="G39" s="24" t="n">
        <f aca="false">E39+F39</f>
        <v>45</v>
      </c>
      <c r="H39" s="24" t="n">
        <f aca="false">IFERROR(INDEX(Website!$B:$B,MATCH($A39,Website!$A:$A,0)),0)</f>
        <v>2543</v>
      </c>
      <c r="I39" s="24" t="n">
        <f aca="false">IFERROR(INDEX(Airbnb!$C:$C,MATCH($A39,Airbnb!$A:$A,0)),0)</f>
        <v>8</v>
      </c>
      <c r="J39" s="24" t="n">
        <f aca="false">H39+I39</f>
        <v>2551</v>
      </c>
      <c r="K39" s="24" t="n">
        <f aca="false">IFERROR(INDEX(Airbnb!$D:$D,MATCH($A39,Airbnb!$A:$A,0)),0)</f>
        <v>0</v>
      </c>
      <c r="L39" s="24" t="n">
        <f aca="false">IFERROR(INDEX(Airbnb!$E:$E,MATCH($A39,Airbnb!$A:$A,0)),0)</f>
        <v>0</v>
      </c>
      <c r="M39" s="25" t="n">
        <f aca="false">IFERROR(INDEX(Airbnb!$G:$G,MATCH($A39,Airbnb!$A:$A,0)),0)</f>
        <v>0</v>
      </c>
    </row>
    <row r="40" customFormat="false" ht="15" hidden="false" customHeight="true" outlineLevel="0" collapsed="false">
      <c r="A40" s="20" t="n">
        <f aca="false">Facebook!A39</f>
        <v>45912</v>
      </c>
      <c r="B40" s="21" t="n">
        <f aca="false">IFERROR(INDEX(Facebook!$F:$F,MATCH($A40,Facebook!$A:$A,0)),0)</f>
        <v>12</v>
      </c>
      <c r="C40" s="21" t="n">
        <f aca="false">IFERROR(INDEX(Instagram!$F:$F,MATCH($A40,Instagram!$A:$A,0)),0)</f>
        <v>35</v>
      </c>
      <c r="D40" s="21" t="n">
        <f aca="false">B40+C40</f>
        <v>47</v>
      </c>
      <c r="E40" s="21" t="n">
        <f aca="false">IFERROR(INDEX(Facebook!$E:$E,MATCH($A40,Facebook!$A:$A,0)),0)</f>
        <v>43</v>
      </c>
      <c r="F40" s="21" t="n">
        <f aca="false">IFERROR(INDEX(Instagram!$E:$E,MATCH($A40,Instagram!$A:$A,0)),0)</f>
        <v>15</v>
      </c>
      <c r="G40" s="21" t="n">
        <f aca="false">E40+F40</f>
        <v>58</v>
      </c>
      <c r="H40" s="21" t="n">
        <f aca="false">IFERROR(INDEX(Website!$B:$B,MATCH($A40,Website!$A:$A,0)),0)</f>
        <v>2545</v>
      </c>
      <c r="I40" s="21" t="n">
        <f aca="false">IFERROR(INDEX(Airbnb!$C:$C,MATCH($A40,Airbnb!$A:$A,0)),0)</f>
        <v>6</v>
      </c>
      <c r="J40" s="21" t="n">
        <f aca="false">H40+I40</f>
        <v>2551</v>
      </c>
      <c r="K40" s="21" t="n">
        <f aca="false">IFERROR(INDEX(Airbnb!$D:$D,MATCH($A40,Airbnb!$A:$A,0)),0)</f>
        <v>0</v>
      </c>
      <c r="L40" s="21" t="n">
        <f aca="false">IFERROR(INDEX(Airbnb!$E:$E,MATCH($A40,Airbnb!$A:$A,0)),0)</f>
        <v>0</v>
      </c>
      <c r="M40" s="22" t="n">
        <f aca="false">IFERROR(INDEX(Airbnb!$G:$G,MATCH($A40,Airbnb!$A:$A,0)),0)</f>
        <v>0</v>
      </c>
    </row>
    <row r="41" customFormat="false" ht="15" hidden="false" customHeight="true" outlineLevel="0" collapsed="false">
      <c r="A41" s="23" t="n">
        <f aca="false">Facebook!A40</f>
        <v>45919</v>
      </c>
      <c r="B41" s="24" t="n">
        <f aca="false">IFERROR(INDEX(Facebook!$F:$F,MATCH($A41,Facebook!$A:$A,0)),0)</f>
        <v>13</v>
      </c>
      <c r="C41" s="24" t="n">
        <f aca="false">IFERROR(INDEX(Instagram!$F:$F,MATCH($A41,Instagram!$A:$A,0)),0)</f>
        <v>15</v>
      </c>
      <c r="D41" s="24" t="n">
        <f aca="false">B41+C41</f>
        <v>28</v>
      </c>
      <c r="E41" s="24" t="n">
        <f aca="false">IFERROR(INDEX(Facebook!$E:$E,MATCH($A41,Facebook!$A:$A,0)),0)</f>
        <v>40</v>
      </c>
      <c r="F41" s="24" t="n">
        <f aca="false">IFERROR(INDEX(Instagram!$E:$E,MATCH($A41,Instagram!$A:$A,0)),0)</f>
        <v>35</v>
      </c>
      <c r="G41" s="24" t="n">
        <f aca="false">E41+F41</f>
        <v>75</v>
      </c>
      <c r="H41" s="24" t="n">
        <f aca="false">IFERROR(INDEX(Website!$B:$B,MATCH($A41,Website!$A:$A,0)),0)</f>
        <v>2562</v>
      </c>
      <c r="I41" s="24" t="n">
        <f aca="false">IFERROR(INDEX(Airbnb!$C:$C,MATCH($A41,Airbnb!$A:$A,0)),0)</f>
        <v>7</v>
      </c>
      <c r="J41" s="24" t="n">
        <f aca="false">H41+I41</f>
        <v>2569</v>
      </c>
      <c r="K41" s="24" t="n">
        <f aca="false">IFERROR(INDEX(Airbnb!$D:$D,MATCH($A41,Airbnb!$A:$A,0)),0)</f>
        <v>0</v>
      </c>
      <c r="L41" s="24" t="n">
        <f aca="false">IFERROR(INDEX(Airbnb!$E:$E,MATCH($A41,Airbnb!$A:$A,0)),0)</f>
        <v>0</v>
      </c>
      <c r="M41" s="25" t="n">
        <f aca="false">IFERROR(INDEX(Airbnb!$G:$G,MATCH($A41,Airbnb!$A:$A,0)),0)</f>
        <v>0</v>
      </c>
    </row>
    <row r="42" customFormat="false" ht="15" hidden="false" customHeight="true" outlineLevel="0" collapsed="false">
      <c r="A42" s="20" t="n">
        <f aca="false">Facebook!A41</f>
        <v>45926</v>
      </c>
      <c r="B42" s="21" t="n">
        <f aca="false">IFERROR(INDEX(Facebook!$F:$F,MATCH($A42,Facebook!$A:$A,0)),0)</f>
        <v>14</v>
      </c>
      <c r="C42" s="21" t="n">
        <f aca="false">IFERROR(INDEX(Instagram!$F:$F,MATCH($A42,Instagram!$A:$A,0)),0)</f>
        <v>426</v>
      </c>
      <c r="D42" s="21" t="n">
        <f aca="false">B42+C42</f>
        <v>440</v>
      </c>
      <c r="E42" s="21" t="n">
        <f aca="false">IFERROR(INDEX(Facebook!$E:$E,MATCH($A42,Facebook!$A:$A,0)),0)</f>
        <v>5</v>
      </c>
      <c r="F42" s="21" t="n">
        <f aca="false">IFERROR(INDEX(Instagram!$E:$E,MATCH($A42,Instagram!$A:$A,0)),0)</f>
        <v>11</v>
      </c>
      <c r="G42" s="21" t="n">
        <f aca="false">E42+F42</f>
        <v>16</v>
      </c>
      <c r="H42" s="21" t="n">
        <f aca="false">IFERROR(INDEX(Website!$B:$B,MATCH($A42,Website!$A:$A,0)),0)</f>
        <v>2594</v>
      </c>
      <c r="I42" s="21" t="n">
        <f aca="false">IFERROR(INDEX(Airbnb!$C:$C,MATCH($A42,Airbnb!$A:$A,0)),0)</f>
        <v>8</v>
      </c>
      <c r="J42" s="21" t="n">
        <f aca="false">H42+I42</f>
        <v>2602</v>
      </c>
      <c r="K42" s="21" t="n">
        <f aca="false">IFERROR(INDEX(Airbnb!$D:$D,MATCH($A42,Airbnb!$A:$A,0)),0)</f>
        <v>1</v>
      </c>
      <c r="L42" s="21" t="n">
        <f aca="false">IFERROR(INDEX(Airbnb!$E:$E,MATCH($A42,Airbnb!$A:$A,0)),0)</f>
        <v>0</v>
      </c>
      <c r="M42" s="22" t="n">
        <f aca="false">IFERROR(INDEX(Airbnb!$G:$G,MATCH($A42,Airbnb!$A:$A,0)),0)</f>
        <v>0</v>
      </c>
    </row>
    <row r="43" customFormat="false" ht="15" hidden="false" customHeight="true" outlineLevel="0" collapsed="false">
      <c r="A43" s="23" t="n">
        <f aca="false">Facebook!A42</f>
        <v>45933</v>
      </c>
      <c r="B43" s="24" t="n">
        <f aca="false">IFERROR(INDEX(Facebook!$F:$F,MATCH($A43,Facebook!$A:$A,0)),0)</f>
        <v>11</v>
      </c>
      <c r="C43" s="24" t="n">
        <f aca="false">IFERROR(INDEX(Instagram!$F:$F,MATCH($A43,Instagram!$A:$A,0)),0)</f>
        <v>230</v>
      </c>
      <c r="D43" s="24" t="n">
        <f aca="false">B43+C43</f>
        <v>241</v>
      </c>
      <c r="E43" s="24" t="n">
        <f aca="false">IFERROR(INDEX(Facebook!$E:$E,MATCH($A43,Facebook!$A:$A,0)),0)</f>
        <v>5</v>
      </c>
      <c r="F43" s="24" t="n">
        <f aca="false">IFERROR(INDEX(Instagram!$E:$E,MATCH($A43,Instagram!$A:$A,0)),0)</f>
        <v>9</v>
      </c>
      <c r="G43" s="24" t="n">
        <f aca="false">E43+F43</f>
        <v>14</v>
      </c>
      <c r="H43" s="24" t="n">
        <f aca="false">IFERROR(INDEX(Website!$B:$B,MATCH($A43,Website!$A:$A,0)),0)</f>
        <v>2597</v>
      </c>
      <c r="I43" s="24" t="n">
        <f aca="false">IFERROR(INDEX(Airbnb!$C:$C,MATCH($A43,Airbnb!$A:$A,0)),0)</f>
        <v>7</v>
      </c>
      <c r="J43" s="24" t="n">
        <f aca="false">H43+I43</f>
        <v>2604</v>
      </c>
      <c r="K43" s="24" t="n">
        <f aca="false">IFERROR(INDEX(Airbnb!$D:$D,MATCH($A43,Airbnb!$A:$A,0)),0)</f>
        <v>0</v>
      </c>
      <c r="L43" s="24" t="n">
        <f aca="false">IFERROR(INDEX(Airbnb!$E:$E,MATCH($A43,Airbnb!$A:$A,0)),0)</f>
        <v>0</v>
      </c>
      <c r="M43" s="25" t="n">
        <f aca="false">IFERROR(INDEX(Airbnb!$G:$G,MATCH($A43,Airbnb!$A:$A,0)),0)</f>
        <v>0</v>
      </c>
    </row>
    <row r="44" customFormat="false" ht="15" hidden="false" customHeight="true" outlineLevel="0" collapsed="false">
      <c r="A44" s="20" t="n">
        <f aca="false">Facebook!A43</f>
        <v>45940</v>
      </c>
      <c r="B44" s="21" t="n">
        <f aca="false">IFERROR(INDEX(Facebook!$F:$F,MATCH($A44,Facebook!$A:$A,0)),0)</f>
        <v>12</v>
      </c>
      <c r="C44" s="21" t="n">
        <f aca="false">IFERROR(INDEX(Instagram!$F:$F,MATCH($A44,Instagram!$A:$A,0)),0)</f>
        <v>112</v>
      </c>
      <c r="D44" s="21" t="n">
        <f aca="false">B44+C44</f>
        <v>124</v>
      </c>
      <c r="E44" s="21" t="n">
        <f aca="false">IFERROR(INDEX(Facebook!$E:$E,MATCH($A44,Facebook!$A:$A,0)),0)</f>
        <v>10</v>
      </c>
      <c r="F44" s="21" t="n">
        <f aca="false">IFERROR(INDEX(Instagram!$E:$E,MATCH($A44,Instagram!$A:$A,0)),0)</f>
        <v>2</v>
      </c>
      <c r="G44" s="21" t="n">
        <f aca="false">E44+F44</f>
        <v>12</v>
      </c>
      <c r="H44" s="21" t="n">
        <f aca="false">IFERROR(INDEX(Website!$B:$B,MATCH($A44,Website!$A:$A,0)),0)</f>
        <v>2611</v>
      </c>
      <c r="I44" s="21" t="n">
        <f aca="false">IFERROR(INDEX(Airbnb!$C:$C,MATCH($A44,Airbnb!$A:$A,0)),0)</f>
        <v>6</v>
      </c>
      <c r="J44" s="21" t="n">
        <f aca="false">H44+I44</f>
        <v>2617</v>
      </c>
      <c r="K44" s="21" t="n">
        <f aca="false">IFERROR(INDEX(Airbnb!$D:$D,MATCH($A44,Airbnb!$A:$A,0)),0)</f>
        <v>1</v>
      </c>
      <c r="L44" s="21" t="n">
        <f aca="false">IFERROR(INDEX(Airbnb!$E:$E,MATCH($A44,Airbnb!$A:$A,0)),0)</f>
        <v>1</v>
      </c>
      <c r="M44" s="22" t="n">
        <f aca="false">IFERROR(INDEX(Airbnb!$G:$G,MATCH($A44,Airbnb!$A:$A,0)),0)</f>
        <v>226</v>
      </c>
    </row>
    <row r="45" customFormat="false" ht="15" hidden="false" customHeight="true" outlineLevel="0" collapsed="false">
      <c r="A45" s="23" t="n">
        <f aca="false">Facebook!A44</f>
        <v>45947</v>
      </c>
      <c r="B45" s="24" t="n">
        <f aca="false">IFERROR(INDEX(Facebook!$F:$F,MATCH($A45,Facebook!$A:$A,0)),0)</f>
        <v>13</v>
      </c>
      <c r="C45" s="24" t="n">
        <f aca="false">IFERROR(INDEX(Instagram!$F:$F,MATCH($A45,Instagram!$A:$A,0)),0)</f>
        <v>111</v>
      </c>
      <c r="D45" s="24" t="n">
        <f aca="false">B45+C45</f>
        <v>124</v>
      </c>
      <c r="E45" s="24" t="n">
        <f aca="false">IFERROR(INDEX(Facebook!$E:$E,MATCH($A45,Facebook!$A:$A,0)),0)</f>
        <v>12</v>
      </c>
      <c r="F45" s="24" t="n">
        <f aca="false">IFERROR(INDEX(Instagram!$E:$E,MATCH($A45,Instagram!$A:$A,0)),0)</f>
        <v>4</v>
      </c>
      <c r="G45" s="24" t="n">
        <f aca="false">E45+F45</f>
        <v>16</v>
      </c>
      <c r="H45" s="24" t="n">
        <f aca="false">IFERROR(INDEX(Website!$B:$B,MATCH($A45,Website!$A:$A,0)),0)</f>
        <v>2620</v>
      </c>
      <c r="I45" s="24" t="n">
        <f aca="false">IFERROR(INDEX(Airbnb!$C:$C,MATCH($A45,Airbnb!$A:$A,0)),0)</f>
        <v>8</v>
      </c>
      <c r="J45" s="24" t="n">
        <f aca="false">H45+I45</f>
        <v>2628</v>
      </c>
      <c r="K45" s="24" t="n">
        <f aca="false">IFERROR(INDEX(Airbnb!$D:$D,MATCH($A45,Airbnb!$A:$A,0)),0)</f>
        <v>0</v>
      </c>
      <c r="L45" s="24" t="n">
        <f aca="false">IFERROR(INDEX(Airbnb!$E:$E,MATCH($A45,Airbnb!$A:$A,0)),0)</f>
        <v>0</v>
      </c>
      <c r="M45" s="25" t="n">
        <f aca="false">IFERROR(INDEX(Airbnb!$G:$G,MATCH($A45,Airbnb!$A:$A,0)),0)</f>
        <v>0</v>
      </c>
    </row>
    <row r="46" customFormat="false" ht="15" hidden="false" customHeight="true" outlineLevel="0" collapsed="false">
      <c r="A46" s="20" t="n">
        <f aca="false">Facebook!A45</f>
        <v>45954</v>
      </c>
      <c r="B46" s="21" t="n">
        <f aca="false">IFERROR(INDEX(Facebook!$F:$F,MATCH($A46,Facebook!$A:$A,0)),0)</f>
        <v>100</v>
      </c>
      <c r="C46" s="21" t="n">
        <f aca="false">IFERROR(INDEX(Instagram!$F:$F,MATCH($A46,Instagram!$A:$A,0)),0)</f>
        <v>90</v>
      </c>
      <c r="D46" s="21" t="n">
        <f aca="false">B46+C46</f>
        <v>190</v>
      </c>
      <c r="E46" s="21" t="n">
        <f aca="false">IFERROR(INDEX(Facebook!$E:$E,MATCH($A46,Facebook!$A:$A,0)),0)</f>
        <v>15</v>
      </c>
      <c r="F46" s="21" t="n">
        <f aca="false">IFERROR(INDEX(Instagram!$E:$E,MATCH($A46,Instagram!$A:$A,0)),0)</f>
        <v>20</v>
      </c>
      <c r="G46" s="21" t="n">
        <f aca="false">E46+F46</f>
        <v>35</v>
      </c>
      <c r="H46" s="21" t="n">
        <f aca="false">IFERROR(INDEX(Website!$B:$B,MATCH($A46,Website!$A:$A,0)),0)</f>
        <v>2625</v>
      </c>
      <c r="I46" s="21" t="n">
        <f aca="false">IFERROR(INDEX(Airbnb!$C:$C,MATCH($A46,Airbnb!$A:$A,0)),0)</f>
        <v>9</v>
      </c>
      <c r="J46" s="21" t="n">
        <f aca="false">H46+I46</f>
        <v>2634</v>
      </c>
      <c r="K46" s="21" t="n">
        <f aca="false">IFERROR(INDEX(Airbnb!$D:$D,MATCH($A46,Airbnb!$A:$A,0)),0)</f>
        <v>0</v>
      </c>
      <c r="L46" s="21" t="n">
        <f aca="false">IFERROR(INDEX(Airbnb!$E:$E,MATCH($A46,Airbnb!$A:$A,0)),0)</f>
        <v>0</v>
      </c>
      <c r="M46" s="22" t="n">
        <f aca="false">IFERROR(INDEX(Airbnb!$G:$G,MATCH($A46,Airbnb!$A:$A,0)),0)</f>
        <v>0</v>
      </c>
    </row>
    <row r="47" customFormat="false" ht="15" hidden="false" customHeight="true" outlineLevel="0" collapsed="false">
      <c r="A47" s="23" t="n">
        <f aca="false">Facebook!A46</f>
        <v>45961</v>
      </c>
      <c r="B47" s="24" t="n">
        <f aca="false">IFERROR(INDEX(Facebook!$F:$F,MATCH($A47,Facebook!$A:$A,0)),0)</f>
        <v>90</v>
      </c>
      <c r="C47" s="24" t="n">
        <f aca="false">IFERROR(INDEX(Instagram!$F:$F,MATCH($A47,Instagram!$A:$A,0)),0)</f>
        <v>100</v>
      </c>
      <c r="D47" s="24" t="n">
        <f aca="false">B47+C47</f>
        <v>190</v>
      </c>
      <c r="E47" s="24" t="n">
        <f aca="false">IFERROR(INDEX(Facebook!$E:$E,MATCH($A47,Facebook!$A:$A,0)),0)</f>
        <v>13</v>
      </c>
      <c r="F47" s="24" t="n">
        <f aca="false">IFERROR(INDEX(Instagram!$E:$E,MATCH($A47,Instagram!$A:$A,0)),0)</f>
        <v>30</v>
      </c>
      <c r="G47" s="24" t="n">
        <f aca="false">E47+F47</f>
        <v>43</v>
      </c>
      <c r="H47" s="24" t="n">
        <f aca="false">IFERROR(INDEX(Website!$B:$B,MATCH($A47,Website!$A:$A,0)),0)</f>
        <v>2627</v>
      </c>
      <c r="I47" s="24" t="n">
        <f aca="false">IFERROR(INDEX(Airbnb!$C:$C,MATCH($A47,Airbnb!$A:$A,0)),0)</f>
        <v>7</v>
      </c>
      <c r="J47" s="24" t="n">
        <f aca="false">H47+I47</f>
        <v>2634</v>
      </c>
      <c r="K47" s="24" t="n">
        <f aca="false">IFERROR(INDEX(Airbnb!$D:$D,MATCH($A47,Airbnb!$A:$A,0)),0)</f>
        <v>0</v>
      </c>
      <c r="L47" s="24" t="n">
        <f aca="false">IFERROR(INDEX(Airbnb!$E:$E,MATCH($A47,Airbnb!$A:$A,0)),0)</f>
        <v>0</v>
      </c>
      <c r="M47" s="25" t="n">
        <f aca="false">IFERROR(INDEX(Airbnb!$G:$G,MATCH($A47,Airbnb!$A:$A,0)),0)</f>
        <v>0</v>
      </c>
    </row>
    <row r="48" customFormat="false" ht="15" hidden="false" customHeight="true" outlineLevel="0" collapsed="false">
      <c r="A48" s="20" t="n">
        <f aca="false">Facebook!A47</f>
        <v>45968</v>
      </c>
      <c r="B48" s="21" t="n">
        <f aca="false">IFERROR(INDEX(Facebook!$F:$F,MATCH($A48,Facebook!$A:$A,0)),0)</f>
        <v>200</v>
      </c>
      <c r="C48" s="21" t="n">
        <f aca="false">IFERROR(INDEX(Instagram!$F:$F,MATCH($A48,Instagram!$A:$A,0)),0)</f>
        <v>300</v>
      </c>
      <c r="D48" s="21" t="n">
        <f aca="false">B48+C48</f>
        <v>500</v>
      </c>
      <c r="E48" s="21" t="n">
        <f aca="false">IFERROR(INDEX(Facebook!$E:$E,MATCH($A48,Facebook!$A:$A,0)),0)</f>
        <v>7</v>
      </c>
      <c r="F48" s="21" t="n">
        <f aca="false">IFERROR(INDEX(Instagram!$E:$E,MATCH($A48,Instagram!$A:$A,0)),0)</f>
        <v>25</v>
      </c>
      <c r="G48" s="21" t="n">
        <f aca="false">E48+F48</f>
        <v>32</v>
      </c>
      <c r="H48" s="21" t="n">
        <f aca="false">IFERROR(INDEX(Website!$B:$B,MATCH($A48,Website!$A:$A,0)),0)</f>
        <v>2629</v>
      </c>
      <c r="I48" s="21" t="n">
        <f aca="false">IFERROR(INDEX(Airbnb!$C:$C,MATCH($A48,Airbnb!$A:$A,0)),0)</f>
        <v>9</v>
      </c>
      <c r="J48" s="21" t="n">
        <f aca="false">H48+I48</f>
        <v>2638</v>
      </c>
      <c r="K48" s="21" t="n">
        <f aca="false">IFERROR(INDEX(Airbnb!$D:$D,MATCH($A48,Airbnb!$A:$A,0)),0)</f>
        <v>0</v>
      </c>
      <c r="L48" s="21" t="n">
        <f aca="false">IFERROR(INDEX(Airbnb!$E:$E,MATCH($A48,Airbnb!$A:$A,0)),0)</f>
        <v>0</v>
      </c>
      <c r="M48" s="22" t="n">
        <f aca="false">IFERROR(INDEX(Airbnb!$G:$G,MATCH($A48,Airbnb!$A:$A,0)),0)</f>
        <v>0</v>
      </c>
    </row>
    <row r="49" customFormat="false" ht="15" hidden="false" customHeight="true" outlineLevel="0" collapsed="false">
      <c r="A49" s="23" t="n">
        <f aca="false">Facebook!A48</f>
        <v>45975</v>
      </c>
      <c r="B49" s="24" t="n">
        <f aca="false">IFERROR(INDEX(Facebook!$F:$F,MATCH($A49,Facebook!$A:$A,0)),0)</f>
        <v>90</v>
      </c>
      <c r="C49" s="24" t="n">
        <f aca="false">IFERROR(INDEX(Instagram!$F:$F,MATCH($A49,Instagram!$A:$A,0)),0)</f>
        <v>78</v>
      </c>
      <c r="D49" s="24" t="n">
        <f aca="false">B49+C49</f>
        <v>168</v>
      </c>
      <c r="E49" s="24" t="n">
        <f aca="false">IFERROR(INDEX(Facebook!$E:$E,MATCH($A49,Facebook!$A:$A,0)),0)</f>
        <v>4</v>
      </c>
      <c r="F49" s="24" t="n">
        <f aca="false">IFERROR(INDEX(Instagram!$E:$E,MATCH($A49,Instagram!$A:$A,0)),0)</f>
        <v>20</v>
      </c>
      <c r="G49" s="24" t="n">
        <f aca="false">E49+F49</f>
        <v>24</v>
      </c>
      <c r="H49" s="24" t="n">
        <f aca="false">IFERROR(INDEX(Website!$B:$B,MATCH($A49,Website!$A:$A,0)),0)</f>
        <v>2551</v>
      </c>
      <c r="I49" s="24" t="n">
        <f aca="false">IFERROR(INDEX(Airbnb!$C:$C,MATCH($A49,Airbnb!$A:$A,0)),0)</f>
        <v>10</v>
      </c>
      <c r="J49" s="24" t="n">
        <f aca="false">H49+I49</f>
        <v>2561</v>
      </c>
      <c r="K49" s="24" t="n">
        <f aca="false">IFERROR(INDEX(Airbnb!$D:$D,MATCH($A49,Airbnb!$A:$A,0)),0)</f>
        <v>0</v>
      </c>
      <c r="L49" s="24" t="n">
        <f aca="false">IFERROR(INDEX(Airbnb!$E:$E,MATCH($A49,Airbnb!$A:$A,0)),0)</f>
        <v>0</v>
      </c>
      <c r="M49" s="25" t="n">
        <f aca="false">IFERROR(INDEX(Airbnb!$G:$G,MATCH($A49,Airbnb!$A:$A,0)),0)</f>
        <v>0</v>
      </c>
    </row>
    <row r="50" customFormat="false" ht="15" hidden="false" customHeight="true" outlineLevel="0" collapsed="false">
      <c r="A50" s="20" t="n">
        <f aca="false">Facebook!A49</f>
        <v>45982</v>
      </c>
      <c r="B50" s="21" t="n">
        <f aca="false">IFERROR(INDEX(Facebook!$F:$F,MATCH($A50,Facebook!$A:$A,0)),0)</f>
        <v>70</v>
      </c>
      <c r="C50" s="21" t="n">
        <f aca="false">IFERROR(INDEX(Instagram!$F:$F,MATCH($A50,Instagram!$A:$A,0)),0)</f>
        <v>60</v>
      </c>
      <c r="D50" s="21" t="n">
        <f aca="false">B50+C50</f>
        <v>130</v>
      </c>
      <c r="E50" s="21" t="n">
        <f aca="false">IFERROR(INDEX(Facebook!$E:$E,MATCH($A50,Facebook!$A:$A,0)),0)</f>
        <v>5</v>
      </c>
      <c r="F50" s="21" t="n">
        <f aca="false">IFERROR(INDEX(Instagram!$E:$E,MATCH($A50,Instagram!$A:$A,0)),0)</f>
        <v>25</v>
      </c>
      <c r="G50" s="21" t="n">
        <f aca="false">E50+F50</f>
        <v>30</v>
      </c>
      <c r="H50" s="21" t="n">
        <f aca="false">IFERROR(INDEX(Website!$B:$B,MATCH($A50,Website!$A:$A,0)),0)</f>
        <v>2556</v>
      </c>
      <c r="I50" s="21" t="n">
        <f aca="false">IFERROR(INDEX(Airbnb!$C:$C,MATCH($A50,Airbnb!$A:$A,0)),0)</f>
        <v>12</v>
      </c>
      <c r="J50" s="21" t="n">
        <f aca="false">H50+I50</f>
        <v>2568</v>
      </c>
      <c r="K50" s="21" t="n">
        <f aca="false">IFERROR(INDEX(Airbnb!$D:$D,MATCH($A50,Airbnb!$A:$A,0)),0)</f>
        <v>0</v>
      </c>
      <c r="L50" s="21" t="n">
        <f aca="false">IFERROR(INDEX(Airbnb!$E:$E,MATCH($A50,Airbnb!$A:$A,0)),0)</f>
        <v>0</v>
      </c>
      <c r="M50" s="22" t="n">
        <f aca="false">IFERROR(INDEX(Airbnb!$G:$G,MATCH($A50,Airbnb!$A:$A,0)),0)</f>
        <v>0</v>
      </c>
    </row>
    <row r="51" customFormat="false" ht="15" hidden="false" customHeight="true" outlineLevel="0" collapsed="false">
      <c r="A51" s="23" t="n">
        <f aca="false">Facebook!A50</f>
        <v>45989</v>
      </c>
      <c r="B51" s="24" t="n">
        <f aca="false">IFERROR(INDEX(Facebook!$F:$F,MATCH($A51,Facebook!$A:$A,0)),0)</f>
        <v>24</v>
      </c>
      <c r="C51" s="24" t="n">
        <f aca="false">IFERROR(INDEX(Instagram!$F:$F,MATCH($A51,Instagram!$A:$A,0)),0)</f>
        <v>59</v>
      </c>
      <c r="D51" s="24" t="n">
        <f aca="false">B51+C51</f>
        <v>83</v>
      </c>
      <c r="E51" s="24" t="n">
        <f aca="false">IFERROR(INDEX(Facebook!$E:$E,MATCH($A51,Facebook!$A:$A,0)),0)</f>
        <v>7</v>
      </c>
      <c r="F51" s="24" t="n">
        <f aca="false">IFERROR(INDEX(Instagram!$E:$E,MATCH($A51,Instagram!$A:$A,0)),0)</f>
        <v>50</v>
      </c>
      <c r="G51" s="24" t="n">
        <f aca="false">E51+F51</f>
        <v>57</v>
      </c>
      <c r="H51" s="24" t="n">
        <f aca="false">IFERROR(INDEX(Website!$B:$B,MATCH($A51,Website!$A:$A,0)),0)</f>
        <v>2561</v>
      </c>
      <c r="I51" s="24" t="n">
        <f aca="false">IFERROR(INDEX(Airbnb!$C:$C,MATCH($A51,Airbnb!$A:$A,0)),0)</f>
        <v>14</v>
      </c>
      <c r="J51" s="24" t="n">
        <f aca="false">H51+I51</f>
        <v>2575</v>
      </c>
      <c r="K51" s="24" t="n">
        <f aca="false">IFERROR(INDEX(Airbnb!$D:$D,MATCH($A51,Airbnb!$A:$A,0)),0)</f>
        <v>0</v>
      </c>
      <c r="L51" s="24" t="n">
        <f aca="false">IFERROR(INDEX(Airbnb!$E:$E,MATCH($A51,Airbnb!$A:$A,0)),0)</f>
        <v>0</v>
      </c>
      <c r="M51" s="25" t="n">
        <f aca="false">IFERROR(INDEX(Airbnb!$G:$G,MATCH($A51,Airbnb!$A:$A,0)),0)</f>
        <v>0</v>
      </c>
    </row>
    <row r="52" customFormat="false" ht="15" hidden="false" customHeight="true" outlineLevel="0" collapsed="false">
      <c r="A52" s="20" t="n">
        <f aca="false">Facebook!A51</f>
        <v>45996</v>
      </c>
      <c r="B52" s="21" t="n">
        <f aca="false">IFERROR(INDEX(Facebook!$F:$F,MATCH($A52,Facebook!$A:$A,0)),0)</f>
        <v>40</v>
      </c>
      <c r="C52" s="21" t="n">
        <f aca="false">IFERROR(INDEX(Instagram!$F:$F,MATCH($A52,Instagram!$A:$A,0)),0)</f>
        <v>40</v>
      </c>
      <c r="D52" s="21" t="n">
        <f aca="false">B52+C52</f>
        <v>80</v>
      </c>
      <c r="E52" s="21" t="n">
        <f aca="false">IFERROR(INDEX(Facebook!$E:$E,MATCH($A52,Facebook!$A:$A,0)),0)</f>
        <v>9</v>
      </c>
      <c r="F52" s="21" t="n">
        <f aca="false">IFERROR(INDEX(Instagram!$E:$E,MATCH($A52,Instagram!$A:$A,0)),0)</f>
        <v>45</v>
      </c>
      <c r="G52" s="21" t="n">
        <f aca="false">E52+F52</f>
        <v>54</v>
      </c>
      <c r="H52" s="21" t="n">
        <f aca="false">IFERROR(INDEX(Website!$B:$B,MATCH($A52,Website!$A:$A,0)),0)</f>
        <v>2586</v>
      </c>
      <c r="I52" s="21" t="n">
        <f aca="false">IFERROR(INDEX(Airbnb!$C:$C,MATCH($A52,Airbnb!$A:$A,0)),0)</f>
        <v>15</v>
      </c>
      <c r="J52" s="21" t="n">
        <f aca="false">H52+I52</f>
        <v>2601</v>
      </c>
      <c r="K52" s="21" t="n">
        <f aca="false">IFERROR(INDEX(Airbnb!$D:$D,MATCH($A52,Airbnb!$A:$A,0)),0)</f>
        <v>1</v>
      </c>
      <c r="L52" s="21" t="n">
        <f aca="false">IFERROR(INDEX(Airbnb!$E:$E,MATCH($A52,Airbnb!$A:$A,0)),0)</f>
        <v>0</v>
      </c>
      <c r="M52" s="22" t="n">
        <f aca="false">IFERROR(INDEX(Airbnb!$G:$G,MATCH($A52,Airbnb!$A:$A,0)),0)</f>
        <v>0</v>
      </c>
    </row>
    <row r="53" customFormat="false" ht="15" hidden="false" customHeight="true" outlineLevel="0" collapsed="false">
      <c r="A53" s="23" t="n">
        <f aca="false">Facebook!A52</f>
        <v>46003</v>
      </c>
      <c r="B53" s="24" t="n">
        <f aca="false">IFERROR(INDEX(Facebook!$F:$F,MATCH($A53,Facebook!$A:$A,0)),0)</f>
        <v>30</v>
      </c>
      <c r="C53" s="24" t="n">
        <f aca="false">IFERROR(INDEX(Instagram!$F:$F,MATCH($A53,Instagram!$A:$A,0)),0)</f>
        <v>45</v>
      </c>
      <c r="D53" s="24" t="n">
        <f aca="false">B53+C53</f>
        <v>75</v>
      </c>
      <c r="E53" s="24" t="n">
        <f aca="false">IFERROR(INDEX(Facebook!$E:$E,MATCH($A53,Facebook!$A:$A,0)),0)</f>
        <v>1</v>
      </c>
      <c r="F53" s="24" t="n">
        <f aca="false">IFERROR(INDEX(Instagram!$E:$E,MATCH($A53,Instagram!$A:$A,0)),0)</f>
        <v>32</v>
      </c>
      <c r="G53" s="24" t="n">
        <f aca="false">E53+F53</f>
        <v>33</v>
      </c>
      <c r="H53" s="24" t="n">
        <f aca="false">IFERROR(INDEX(Website!$B:$B,MATCH($A53,Website!$A:$A,0)),0)</f>
        <v>2612</v>
      </c>
      <c r="I53" s="24" t="n">
        <f aca="false">IFERROR(INDEX(Airbnb!$C:$C,MATCH($A53,Airbnb!$A:$A,0)),0)</f>
        <v>17</v>
      </c>
      <c r="J53" s="24" t="n">
        <f aca="false">H53+I53</f>
        <v>2629</v>
      </c>
      <c r="K53" s="24" t="n">
        <f aca="false">IFERROR(INDEX(Airbnb!$D:$D,MATCH($A53,Airbnb!$A:$A,0)),0)</f>
        <v>0</v>
      </c>
      <c r="L53" s="24" t="n">
        <f aca="false">IFERROR(INDEX(Airbnb!$E:$E,MATCH($A53,Airbnb!$A:$A,0)),0)</f>
        <v>0</v>
      </c>
      <c r="M53" s="25" t="n">
        <f aca="false">IFERROR(INDEX(Airbnb!$G:$G,MATCH($A53,Airbnb!$A:$A,0)),0)</f>
        <v>0</v>
      </c>
    </row>
    <row r="54" customFormat="false" ht="15" hidden="false" customHeight="true" outlineLevel="0" collapsed="false">
      <c r="A54" s="20" t="n">
        <f aca="false">Facebook!A53</f>
        <v>46010</v>
      </c>
      <c r="B54" s="21" t="n">
        <f aca="false">IFERROR(INDEX(Facebook!$F:$F,MATCH($A54,Facebook!$A:$A,0)),0)</f>
        <v>40</v>
      </c>
      <c r="C54" s="21" t="n">
        <f aca="false">IFERROR(INDEX(Instagram!$F:$F,MATCH($A54,Instagram!$A:$A,0)),0)</f>
        <v>34</v>
      </c>
      <c r="D54" s="21" t="n">
        <f aca="false">B54+C54</f>
        <v>74</v>
      </c>
      <c r="E54" s="21" t="n">
        <f aca="false">IFERROR(INDEX(Facebook!$E:$E,MATCH($A54,Facebook!$A:$A,0)),0)</f>
        <v>3</v>
      </c>
      <c r="F54" s="21" t="n">
        <f aca="false">IFERROR(INDEX(Instagram!$E:$E,MATCH($A54,Instagram!$A:$A,0)),0)</f>
        <v>23</v>
      </c>
      <c r="G54" s="21" t="n">
        <f aca="false">E54+F54</f>
        <v>26</v>
      </c>
      <c r="H54" s="21" t="n">
        <f aca="false">IFERROR(INDEX(Website!$B:$B,MATCH($A54,Website!$A:$A,0)),0)</f>
        <v>2637</v>
      </c>
      <c r="I54" s="21" t="n">
        <f aca="false">IFERROR(INDEX(Airbnb!$C:$C,MATCH($A54,Airbnb!$A:$A,0)),0)</f>
        <v>15</v>
      </c>
      <c r="J54" s="21" t="n">
        <f aca="false">H54+I54</f>
        <v>2652</v>
      </c>
      <c r="K54" s="21" t="n">
        <f aca="false">IFERROR(INDEX(Airbnb!$D:$D,MATCH($A54,Airbnb!$A:$A,0)),0)</f>
        <v>0</v>
      </c>
      <c r="L54" s="21" t="n">
        <f aca="false">IFERROR(INDEX(Airbnb!$E:$E,MATCH($A54,Airbnb!$A:$A,0)),0)</f>
        <v>0</v>
      </c>
      <c r="M54" s="22" t="n">
        <f aca="false">IFERROR(INDEX(Airbnb!$G:$G,MATCH($A54,Airbnb!$A:$A,0)),0)</f>
        <v>0</v>
      </c>
    </row>
    <row r="55" customFormat="false" ht="15" hidden="false" customHeight="true" outlineLevel="0" collapsed="false">
      <c r="A55" s="23" t="n">
        <f aca="false">Facebook!A54</f>
        <v>46017</v>
      </c>
      <c r="B55" s="24" t="n">
        <f aca="false">IFERROR(INDEX(Facebook!$F:$F,MATCH($A55,Facebook!$A:$A,0)),0)</f>
        <v>20</v>
      </c>
      <c r="C55" s="24" t="n">
        <f aca="false">IFERROR(INDEX(Instagram!$F:$F,MATCH($A55,Instagram!$A:$A,0)),0)</f>
        <v>35</v>
      </c>
      <c r="D55" s="24" t="n">
        <f aca="false">B55+C55</f>
        <v>55</v>
      </c>
      <c r="E55" s="24" t="n">
        <f aca="false">IFERROR(INDEX(Facebook!$E:$E,MATCH($A55,Facebook!$A:$A,0)),0)</f>
        <v>4</v>
      </c>
      <c r="F55" s="24" t="n">
        <f aca="false">IFERROR(INDEX(Instagram!$E:$E,MATCH($A55,Instagram!$A:$A,0)),0)</f>
        <v>32</v>
      </c>
      <c r="G55" s="24" t="n">
        <f aca="false">E55+F55</f>
        <v>36</v>
      </c>
      <c r="H55" s="24" t="n">
        <f aca="false">IFERROR(INDEX(Website!$B:$B,MATCH($A55,Website!$A:$A,0)),0)</f>
        <v>2663</v>
      </c>
      <c r="I55" s="24" t="n">
        <f aca="false">IFERROR(INDEX(Airbnb!$C:$C,MATCH($A55,Airbnb!$A:$A,0)),0)</f>
        <v>13</v>
      </c>
      <c r="J55" s="24" t="n">
        <f aca="false">H55+I55</f>
        <v>2676</v>
      </c>
      <c r="K55" s="24" t="n">
        <f aca="false">IFERROR(INDEX(Airbnb!$D:$D,MATCH($A55,Airbnb!$A:$A,0)),0)</f>
        <v>0</v>
      </c>
      <c r="L55" s="24" t="n">
        <f aca="false">IFERROR(INDEX(Airbnb!$E:$E,MATCH($A55,Airbnb!$A:$A,0)),0)</f>
        <v>0</v>
      </c>
      <c r="M55" s="25" t="n">
        <f aca="false">IFERROR(INDEX(Airbnb!$G:$G,MATCH($A55,Airbnb!$A:$A,0)),0)</f>
        <v>0</v>
      </c>
    </row>
    <row r="56" customFormat="false" ht="15" hidden="false" customHeight="true" outlineLevel="0" collapsed="false">
      <c r="A56" s="20" t="n">
        <f aca="false">Facebook!A55</f>
        <v>46024</v>
      </c>
      <c r="B56" s="21" t="n">
        <f aca="false">IFERROR(INDEX(Facebook!$F:$F,MATCH($A56,Facebook!$A:$A,0)),0)</f>
        <v>25</v>
      </c>
      <c r="C56" s="21" t="n">
        <f aca="false">IFERROR(INDEX(Instagram!$F:$F,MATCH($A56,Instagram!$A:$A,0)),0)</f>
        <v>33</v>
      </c>
      <c r="D56" s="21" t="n">
        <f aca="false">B56+C56</f>
        <v>58</v>
      </c>
      <c r="E56" s="21" t="n">
        <f aca="false">IFERROR(INDEX(Facebook!$E:$E,MATCH($A56,Facebook!$A:$A,0)),0)</f>
        <v>3</v>
      </c>
      <c r="F56" s="21" t="n">
        <f aca="false">IFERROR(INDEX(Instagram!$E:$E,MATCH($A56,Instagram!$A:$A,0)),0)</f>
        <v>11</v>
      </c>
      <c r="G56" s="21" t="n">
        <f aca="false">E56+F56</f>
        <v>14</v>
      </c>
      <c r="H56" s="21" t="n">
        <f aca="false">IFERROR(INDEX(Website!$B:$B,MATCH($A56,Website!$A:$A,0)),0)</f>
        <v>2586</v>
      </c>
      <c r="I56" s="21" t="n">
        <f aca="false">IFERROR(INDEX(Airbnb!$C:$C,MATCH($A56,Airbnb!$A:$A,0)),0)</f>
        <v>6</v>
      </c>
      <c r="J56" s="21" t="n">
        <f aca="false">H56+I56</f>
        <v>2592</v>
      </c>
      <c r="K56" s="21" t="n">
        <f aca="false">IFERROR(INDEX(Airbnb!$D:$D,MATCH($A56,Airbnb!$A:$A,0)),0)</f>
        <v>0</v>
      </c>
      <c r="L56" s="21" t="n">
        <f aca="false">IFERROR(INDEX(Airbnb!$E:$E,MATCH($A56,Airbnb!$A:$A,0)),0)</f>
        <v>0</v>
      </c>
      <c r="M56" s="22" t="n">
        <f aca="false">IFERROR(INDEX(Airbnb!$G:$G,MATCH($A56,Airbnb!$A:$A,0)),0)</f>
        <v>0</v>
      </c>
    </row>
    <row r="57" customFormat="false" ht="15" hidden="false" customHeight="true" outlineLevel="0" collapsed="false">
      <c r="A57" s="23" t="n">
        <f aca="false">Facebook!A56</f>
        <v>46031</v>
      </c>
      <c r="B57" s="24" t="n">
        <f aca="false">IFERROR(INDEX(Facebook!$F:$F,MATCH($A57,Facebook!$A:$A,0)),0)</f>
        <v>23</v>
      </c>
      <c r="C57" s="24" t="n">
        <f aca="false">IFERROR(INDEX(Instagram!$F:$F,MATCH($A57,Instagram!$A:$A,0)),0)</f>
        <v>25</v>
      </c>
      <c r="D57" s="24" t="n">
        <f aca="false">B57+C57</f>
        <v>48</v>
      </c>
      <c r="E57" s="24" t="n">
        <f aca="false">IFERROR(INDEX(Facebook!$E:$E,MATCH($A57,Facebook!$A:$A,0)),0)</f>
        <v>2</v>
      </c>
      <c r="F57" s="24" t="n">
        <f aca="false">IFERROR(INDEX(Instagram!$E:$E,MATCH($A57,Instagram!$A:$A,0)),0)</f>
        <v>23</v>
      </c>
      <c r="G57" s="24" t="n">
        <f aca="false">E57+F57</f>
        <v>25</v>
      </c>
      <c r="H57" s="24" t="n">
        <f aca="false">IFERROR(INDEX(Website!$B:$B,MATCH($A57,Website!$A:$A,0)),0)</f>
        <v>2612</v>
      </c>
      <c r="I57" s="24" t="n">
        <f aca="false">IFERROR(INDEX(Airbnb!$C:$C,MATCH($A57,Airbnb!$A:$A,0)),0)</f>
        <v>8</v>
      </c>
      <c r="J57" s="24" t="n">
        <f aca="false">H57+I57</f>
        <v>2620</v>
      </c>
      <c r="K57" s="24" t="n">
        <f aca="false">IFERROR(INDEX(Airbnb!$D:$D,MATCH($A57,Airbnb!$A:$A,0)),0)</f>
        <v>1</v>
      </c>
      <c r="L57" s="24" t="n">
        <f aca="false">IFERROR(INDEX(Airbnb!$E:$E,MATCH($A57,Airbnb!$A:$A,0)),0)</f>
        <v>1</v>
      </c>
      <c r="M57" s="25" t="n">
        <f aca="false">IFERROR(INDEX(Airbnb!$G:$G,MATCH($A57,Airbnb!$A:$A,0)),0)</f>
        <v>361</v>
      </c>
    </row>
    <row r="58" customFormat="false" ht="15" hidden="false" customHeight="true" outlineLevel="0" collapsed="false">
      <c r="A58" s="20" t="n">
        <f aca="false">Facebook!A57</f>
        <v>46038</v>
      </c>
      <c r="B58" s="21" t="n">
        <f aca="false">IFERROR(INDEX(Facebook!$F:$F,MATCH($A58,Facebook!$A:$A,0)),0)</f>
        <v>30</v>
      </c>
      <c r="C58" s="21" t="n">
        <f aca="false">IFERROR(INDEX(Instagram!$F:$F,MATCH($A58,Instagram!$A:$A,0)),0)</f>
        <v>22</v>
      </c>
      <c r="D58" s="21" t="n">
        <f aca="false">B58+C58</f>
        <v>52</v>
      </c>
      <c r="E58" s="21" t="n">
        <f aca="false">IFERROR(INDEX(Facebook!$E:$E,MATCH($A58,Facebook!$A:$A,0)),0)</f>
        <v>3</v>
      </c>
      <c r="F58" s="21" t="n">
        <f aca="false">IFERROR(INDEX(Instagram!$E:$E,MATCH($A58,Instagram!$A:$A,0)),0)</f>
        <v>27</v>
      </c>
      <c r="G58" s="21" t="n">
        <f aca="false">E58+F58</f>
        <v>30</v>
      </c>
      <c r="H58" s="21" t="n">
        <f aca="false">IFERROR(INDEX(Website!$B:$B,MATCH($A58,Website!$A:$A,0)),0)</f>
        <v>2638</v>
      </c>
      <c r="I58" s="21" t="n">
        <f aca="false">IFERROR(INDEX(Airbnb!$C:$C,MATCH($A58,Airbnb!$A:$A,0)),0)</f>
        <v>14</v>
      </c>
      <c r="J58" s="21" t="n">
        <f aca="false">H58+I58</f>
        <v>2652</v>
      </c>
      <c r="K58" s="21" t="n">
        <f aca="false">IFERROR(INDEX(Airbnb!$D:$D,MATCH($A58,Airbnb!$A:$A,0)),0)</f>
        <v>0</v>
      </c>
      <c r="L58" s="21" t="n">
        <f aca="false">IFERROR(INDEX(Airbnb!$E:$E,MATCH($A58,Airbnb!$A:$A,0)),0)</f>
        <v>0</v>
      </c>
      <c r="M58" s="22" t="n">
        <f aca="false">IFERROR(INDEX(Airbnb!$G:$G,MATCH($A58,Airbnb!$A:$A,0)),0)</f>
        <v>0</v>
      </c>
    </row>
    <row r="59" customFormat="false" ht="15" hidden="false" customHeight="true" outlineLevel="0" collapsed="false">
      <c r="A59" s="23" t="n">
        <f aca="false">Facebook!A58</f>
        <v>46045</v>
      </c>
      <c r="B59" s="24" t="n">
        <f aca="false">IFERROR(INDEX(Facebook!$F:$F,MATCH($A59,Facebook!$A:$A,0)),0)</f>
        <v>25</v>
      </c>
      <c r="C59" s="24" t="n">
        <f aca="false">IFERROR(INDEX(Instagram!$F:$F,MATCH($A59,Instagram!$A:$A,0)),0)</f>
        <v>30</v>
      </c>
      <c r="D59" s="24" t="n">
        <f aca="false">B59+C59</f>
        <v>55</v>
      </c>
      <c r="E59" s="24" t="n">
        <f aca="false">IFERROR(INDEX(Facebook!$E:$E,MATCH($A59,Facebook!$A:$A,0)),0)</f>
        <v>5</v>
      </c>
      <c r="F59" s="24" t="n">
        <f aca="false">IFERROR(INDEX(Instagram!$E:$E,MATCH($A59,Instagram!$A:$A,0)),0)</f>
        <v>24</v>
      </c>
      <c r="G59" s="24" t="n">
        <f aca="false">E59+F59</f>
        <v>29</v>
      </c>
      <c r="H59" s="24" t="n">
        <f aca="false">IFERROR(INDEX(Website!$B:$B,MATCH($A59,Website!$A:$A,0)),0)</f>
        <v>2664</v>
      </c>
      <c r="I59" s="24" t="n">
        <f aca="false">IFERROR(INDEX(Airbnb!$C:$C,MATCH($A59,Airbnb!$A:$A,0)),0)</f>
        <v>17</v>
      </c>
      <c r="J59" s="24" t="n">
        <f aca="false">H59+I59</f>
        <v>2681</v>
      </c>
      <c r="K59" s="24" t="n">
        <f aca="false">IFERROR(INDEX(Airbnb!$D:$D,MATCH($A59,Airbnb!$A:$A,0)),0)</f>
        <v>0</v>
      </c>
      <c r="L59" s="24" t="n">
        <f aca="false">IFERROR(INDEX(Airbnb!$E:$E,MATCH($A59,Airbnb!$A:$A,0)),0)</f>
        <v>0</v>
      </c>
      <c r="M59" s="25" t="n">
        <f aca="false">IFERROR(INDEX(Airbnb!$G:$G,MATCH($A59,Airbnb!$A:$A,0)),0)</f>
        <v>0</v>
      </c>
    </row>
    <row r="60" customFormat="false" ht="15" hidden="false" customHeight="true" outlineLevel="0" collapsed="false">
      <c r="A60" s="20" t="n">
        <f aca="false">Facebook!A59</f>
        <v>46052</v>
      </c>
      <c r="B60" s="21" t="n">
        <f aca="false">IFERROR(INDEX(Facebook!$F:$F,MATCH($A60,Facebook!$A:$A,0)),0)</f>
        <v>20</v>
      </c>
      <c r="C60" s="21" t="n">
        <f aca="false">IFERROR(INDEX(Instagram!$F:$F,MATCH($A60,Instagram!$A:$A,0)),0)</f>
        <v>45</v>
      </c>
      <c r="D60" s="21" t="n">
        <f aca="false">B60+C60</f>
        <v>65</v>
      </c>
      <c r="E60" s="21" t="n">
        <f aca="false">IFERROR(INDEX(Facebook!$E:$E,MATCH($A60,Facebook!$A:$A,0)),0)</f>
        <v>2</v>
      </c>
      <c r="F60" s="21" t="n">
        <f aca="false">IFERROR(INDEX(Instagram!$E:$E,MATCH($A60,Instagram!$A:$A,0)),0)</f>
        <v>20</v>
      </c>
      <c r="G60" s="21" t="n">
        <f aca="false">E60+F60</f>
        <v>22</v>
      </c>
      <c r="H60" s="21" t="n">
        <f aca="false">IFERROR(INDEX(Website!$B:$B,MATCH($A60,Website!$A:$A,0)),0)</f>
        <v>2690</v>
      </c>
      <c r="I60" s="21" t="n">
        <f aca="false">IFERROR(INDEX(Airbnb!$C:$C,MATCH($A60,Airbnb!$A:$A,0)),0)</f>
        <v>15</v>
      </c>
      <c r="J60" s="21" t="n">
        <f aca="false">H60+I60</f>
        <v>2705</v>
      </c>
      <c r="K60" s="21" t="n">
        <f aca="false">IFERROR(INDEX(Airbnb!$D:$D,MATCH($A60,Airbnb!$A:$A,0)),0)</f>
        <v>0</v>
      </c>
      <c r="L60" s="21" t="n">
        <f aca="false">IFERROR(INDEX(Airbnb!$E:$E,MATCH($A60,Airbnb!$A:$A,0)),0)</f>
        <v>0</v>
      </c>
      <c r="M60" s="22" t="n">
        <f aca="false">IFERROR(INDEX(Airbnb!$G:$G,MATCH($A60,Airbnb!$A:$A,0)),0)</f>
        <v>0</v>
      </c>
    </row>
    <row r="61" customFormat="false" ht="15" hidden="false" customHeight="true" outlineLevel="0" collapsed="false">
      <c r="A61" s="23" t="n">
        <f aca="false">Facebook!A60</f>
        <v>46059</v>
      </c>
      <c r="B61" s="24" t="n">
        <f aca="false">IFERROR(INDEX(Facebook!$F:$F,MATCH($A61,Facebook!$A:$A,0)),0)</f>
        <v>40</v>
      </c>
      <c r="C61" s="24" t="n">
        <f aca="false">IFERROR(INDEX(Instagram!$F:$F,MATCH($A61,Instagram!$A:$A,0)),0)</f>
        <v>54</v>
      </c>
      <c r="D61" s="24" t="n">
        <f aca="false">B61+C61</f>
        <v>94</v>
      </c>
      <c r="E61" s="24" t="n">
        <f aca="false">IFERROR(INDEX(Facebook!$E:$E,MATCH($A61,Facebook!$A:$A,0)),0)</f>
        <v>6</v>
      </c>
      <c r="F61" s="24" t="n">
        <f aca="false">IFERROR(INDEX(Instagram!$E:$E,MATCH($A61,Instagram!$A:$A,0)),0)</f>
        <v>18</v>
      </c>
      <c r="G61" s="24" t="n">
        <f aca="false">E61+F61</f>
        <v>24</v>
      </c>
      <c r="H61" s="24" t="n">
        <f aca="false">IFERROR(INDEX(Website!$B:$B,MATCH($A61,Website!$A:$A,0)),0)</f>
        <v>2716</v>
      </c>
      <c r="I61" s="24" t="n">
        <f aca="false">IFERROR(INDEX(Airbnb!$C:$C,MATCH($A61,Airbnb!$A:$A,0)),0)</f>
        <v>9</v>
      </c>
      <c r="J61" s="24" t="n">
        <f aca="false">H61+I61</f>
        <v>2725</v>
      </c>
      <c r="K61" s="24" t="n">
        <f aca="false">IFERROR(INDEX(Airbnb!$D:$D,MATCH($A61,Airbnb!$A:$A,0)),0)</f>
        <v>0</v>
      </c>
      <c r="L61" s="24" t="n">
        <f aca="false">IFERROR(INDEX(Airbnb!$E:$E,MATCH($A61,Airbnb!$A:$A,0)),0)</f>
        <v>0</v>
      </c>
      <c r="M61" s="25" t="n">
        <f aca="false">IFERROR(INDEX(Airbnb!$G:$G,MATCH($A61,Airbnb!$A:$A,0)),0)</f>
        <v>0</v>
      </c>
    </row>
    <row r="62" customFormat="false" ht="15" hidden="false" customHeight="true" outlineLevel="0" collapsed="false">
      <c r="A62" s="20" t="n">
        <f aca="false">Facebook!A61</f>
        <v>46066</v>
      </c>
      <c r="B62" s="21" t="n">
        <f aca="false">IFERROR(INDEX(Facebook!$F:$F,MATCH($A62,Facebook!$A:$A,0)),0)</f>
        <v>34</v>
      </c>
      <c r="C62" s="21" t="n">
        <f aca="false">IFERROR(INDEX(Instagram!$F:$F,MATCH($A62,Instagram!$A:$A,0)),0)</f>
        <v>33</v>
      </c>
      <c r="D62" s="21" t="n">
        <f aca="false">B62+C62</f>
        <v>67</v>
      </c>
      <c r="E62" s="21" t="n">
        <f aca="false">IFERROR(INDEX(Facebook!$E:$E,MATCH($A62,Facebook!$A:$A,0)),0)</f>
        <v>8</v>
      </c>
      <c r="F62" s="21" t="n">
        <f aca="false">IFERROR(INDEX(Instagram!$E:$E,MATCH($A62,Instagram!$A:$A,0)),0)</f>
        <v>17</v>
      </c>
      <c r="G62" s="21" t="n">
        <f aca="false">E62+F62</f>
        <v>25</v>
      </c>
      <c r="H62" s="21" t="n">
        <f aca="false">IFERROR(INDEX(Website!$B:$B,MATCH($A62,Website!$A:$A,0)),0)</f>
        <v>2742</v>
      </c>
      <c r="I62" s="21" t="n">
        <f aca="false">IFERROR(INDEX(Airbnb!$C:$C,MATCH($A62,Airbnb!$A:$A,0)),0)</f>
        <v>7</v>
      </c>
      <c r="J62" s="21" t="n">
        <f aca="false">H62+I62</f>
        <v>2749</v>
      </c>
      <c r="K62" s="21" t="n">
        <f aca="false">IFERROR(INDEX(Airbnb!$D:$D,MATCH($A62,Airbnb!$A:$A,0)),0)</f>
        <v>0</v>
      </c>
      <c r="L62" s="21" t="n">
        <f aca="false">IFERROR(INDEX(Airbnb!$E:$E,MATCH($A62,Airbnb!$A:$A,0)),0)</f>
        <v>0</v>
      </c>
      <c r="M62" s="22" t="n">
        <f aca="false">IFERROR(INDEX(Airbnb!$G:$G,MATCH($A62,Airbnb!$A:$A,0)),0)</f>
        <v>0</v>
      </c>
    </row>
    <row r="63" customFormat="false" ht="15" hidden="false" customHeight="true" outlineLevel="0" collapsed="false">
      <c r="A63" s="23" t="n">
        <f aca="false">Facebook!A62</f>
        <v>46073</v>
      </c>
      <c r="B63" s="24" t="n">
        <f aca="false">IFERROR(INDEX(Facebook!$F:$F,MATCH($A63,Facebook!$A:$A,0)),0)</f>
        <v>26</v>
      </c>
      <c r="C63" s="24" t="n">
        <f aca="false">IFERROR(INDEX(Instagram!$F:$F,MATCH($A63,Instagram!$A:$A,0)),0)</f>
        <v>44</v>
      </c>
      <c r="D63" s="24" t="n">
        <f aca="false">B63+C63</f>
        <v>70</v>
      </c>
      <c r="E63" s="24" t="n">
        <f aca="false">IFERROR(INDEX(Facebook!$E:$E,MATCH($A63,Facebook!$A:$A,0)),0)</f>
        <v>9</v>
      </c>
      <c r="F63" s="24" t="n">
        <f aca="false">IFERROR(INDEX(Instagram!$E:$E,MATCH($A63,Instagram!$A:$A,0)),0)</f>
        <v>16</v>
      </c>
      <c r="G63" s="24" t="n">
        <f aca="false">E63+F63</f>
        <v>25</v>
      </c>
      <c r="H63" s="24" t="n">
        <f aca="false">IFERROR(INDEX(Website!$B:$B,MATCH($A63,Website!$A:$A,0)),0)</f>
        <v>2768</v>
      </c>
      <c r="I63" s="24" t="n">
        <f aca="false">IFERROR(INDEX(Airbnb!$C:$C,MATCH($A63,Airbnb!$A:$A,0)),0)</f>
        <v>5</v>
      </c>
      <c r="J63" s="24" t="n">
        <f aca="false">H63+I63</f>
        <v>2773</v>
      </c>
      <c r="K63" s="24" t="n">
        <f aca="false">IFERROR(INDEX(Airbnb!$D:$D,MATCH($A63,Airbnb!$A:$A,0)),0)</f>
        <v>0</v>
      </c>
      <c r="L63" s="24" t="n">
        <f aca="false">IFERROR(INDEX(Airbnb!$E:$E,MATCH($A63,Airbnb!$A:$A,0)),0)</f>
        <v>0</v>
      </c>
      <c r="M63" s="25" t="n">
        <f aca="false">IFERROR(INDEX(Airbnb!$G:$G,MATCH($A63,Airbnb!$A:$A,0)),0)</f>
        <v>0</v>
      </c>
    </row>
    <row r="64" customFormat="false" ht="15" hidden="false" customHeight="true" outlineLevel="0" collapsed="false">
      <c r="A64" s="20" t="n">
        <f aca="false">Facebook!A63</f>
        <v>46080</v>
      </c>
      <c r="B64" s="21" t="n">
        <f aca="false">IFERROR(INDEX(Facebook!$F:$F,MATCH($A64,Facebook!$A:$A,0)),0)</f>
        <v>23</v>
      </c>
      <c r="C64" s="21" t="n">
        <f aca="false">IFERROR(INDEX(Instagram!$F:$F,MATCH($A64,Instagram!$A:$A,0)),0)</f>
        <v>25</v>
      </c>
      <c r="D64" s="21" t="n">
        <f aca="false">B64+C64</f>
        <v>48</v>
      </c>
      <c r="E64" s="21" t="n">
        <f aca="false">IFERROR(INDEX(Facebook!$E:$E,MATCH($A64,Facebook!$A:$A,0)),0)</f>
        <v>3</v>
      </c>
      <c r="F64" s="21" t="n">
        <f aca="false">IFERROR(INDEX(Instagram!$E:$E,MATCH($A64,Instagram!$A:$A,0)),0)</f>
        <v>15</v>
      </c>
      <c r="G64" s="21" t="n">
        <f aca="false">E64+F64</f>
        <v>18</v>
      </c>
      <c r="H64" s="21" t="n">
        <f aca="false">IFERROR(INDEX(Website!$B:$B,MATCH($A64,Website!$A:$A,0)),0)</f>
        <v>2794</v>
      </c>
      <c r="I64" s="21" t="n">
        <f aca="false">IFERROR(INDEX(Airbnb!$C:$C,MATCH($A64,Airbnb!$A:$A,0)),0)</f>
        <v>9</v>
      </c>
      <c r="J64" s="21" t="n">
        <f aca="false">H64+I64</f>
        <v>2803</v>
      </c>
      <c r="K64" s="21" t="n">
        <f aca="false">IFERROR(INDEX(Airbnb!$D:$D,MATCH($A64,Airbnb!$A:$A,0)),0)</f>
        <v>0</v>
      </c>
      <c r="L64" s="21" t="n">
        <f aca="false">IFERROR(INDEX(Airbnb!$E:$E,MATCH($A64,Airbnb!$A:$A,0)),0)</f>
        <v>0</v>
      </c>
      <c r="M64" s="22" t="n">
        <f aca="false">IFERROR(INDEX(Airbnb!$G:$G,MATCH($A64,Airbnb!$A:$A,0)),0)</f>
        <v>0</v>
      </c>
    </row>
    <row r="65" customFormat="false" ht="15" hidden="false" customHeight="true" outlineLevel="0" collapsed="false">
      <c r="A65" s="23" t="n">
        <f aca="false">Facebook!A64</f>
        <v>46087</v>
      </c>
      <c r="B65" s="24" t="n">
        <f aca="false">IFERROR(INDEX(Facebook!$F:$F,MATCH($A65,Facebook!$A:$A,0)),0)</f>
        <v>20</v>
      </c>
      <c r="C65" s="24" t="n">
        <f aca="false">IFERROR(INDEX(Instagram!$F:$F,MATCH($A65,Instagram!$A:$A,0)),0)</f>
        <v>26</v>
      </c>
      <c r="D65" s="24" t="n">
        <f aca="false">B65+C65</f>
        <v>46</v>
      </c>
      <c r="E65" s="24" t="n">
        <f aca="false">IFERROR(INDEX(Facebook!$E:$E,MATCH($A65,Facebook!$A:$A,0)),0)</f>
        <v>8</v>
      </c>
      <c r="F65" s="24" t="n">
        <f aca="false">IFERROR(INDEX(Instagram!$E:$E,MATCH($A65,Instagram!$A:$A,0)),0)</f>
        <v>24</v>
      </c>
      <c r="G65" s="24" t="n">
        <f aca="false">E65+F65</f>
        <v>32</v>
      </c>
      <c r="H65" s="24" t="n">
        <f aca="false">IFERROR(INDEX(Website!$B:$B,MATCH($A65,Website!$A:$A,0)),0)</f>
        <v>2820</v>
      </c>
      <c r="I65" s="24" t="n">
        <f aca="false">IFERROR(INDEX(Airbnb!$C:$C,MATCH($A65,Airbnb!$A:$A,0)),0)</f>
        <v>6</v>
      </c>
      <c r="J65" s="24" t="n">
        <f aca="false">H65+I65</f>
        <v>2826</v>
      </c>
      <c r="K65" s="24" t="n">
        <f aca="false">IFERROR(INDEX(Airbnb!$D:$D,MATCH($A65,Airbnb!$A:$A,0)),0)</f>
        <v>0</v>
      </c>
      <c r="L65" s="24" t="n">
        <f aca="false">IFERROR(INDEX(Airbnb!$E:$E,MATCH($A65,Airbnb!$A:$A,0)),0)</f>
        <v>0</v>
      </c>
      <c r="M65" s="25" t="n">
        <f aca="false">IFERROR(INDEX(Airbnb!$G:$G,MATCH($A65,Airbnb!$A:$A,0)),0)</f>
        <v>0</v>
      </c>
    </row>
    <row r="66" customFormat="false" ht="15" hidden="false" customHeight="true" outlineLevel="0" collapsed="false">
      <c r="A66" s="20" t="n">
        <f aca="false">Facebook!A65</f>
        <v>46094</v>
      </c>
      <c r="B66" s="21" t="n">
        <f aca="false">IFERROR(INDEX(Facebook!$F:$F,MATCH($A66,Facebook!$A:$A,0)),0)</f>
        <v>15</v>
      </c>
      <c r="C66" s="21" t="n">
        <f aca="false">IFERROR(INDEX(Instagram!$F:$F,MATCH($A66,Instagram!$A:$A,0)),0)</f>
        <v>16</v>
      </c>
      <c r="D66" s="21" t="n">
        <f aca="false">B66+C66</f>
        <v>31</v>
      </c>
      <c r="E66" s="21" t="n">
        <f aca="false">IFERROR(INDEX(Facebook!$E:$E,MATCH($A66,Facebook!$A:$A,0)),0)</f>
        <v>9</v>
      </c>
      <c r="F66" s="21" t="n">
        <f aca="false">IFERROR(INDEX(Instagram!$E:$E,MATCH($A66,Instagram!$A:$A,0)),0)</f>
        <v>27</v>
      </c>
      <c r="G66" s="21" t="n">
        <f aca="false">E66+F66</f>
        <v>36</v>
      </c>
      <c r="H66" s="21" t="n">
        <f aca="false">IFERROR(INDEX(Website!$B:$B,MATCH($A66,Website!$A:$A,0)),0)</f>
        <v>2846</v>
      </c>
      <c r="I66" s="21" t="n">
        <f aca="false">IFERROR(INDEX(Airbnb!$C:$C,MATCH($A66,Airbnb!$A:$A,0)),0)</f>
        <v>13</v>
      </c>
      <c r="J66" s="21" t="n">
        <f aca="false">H66+I66</f>
        <v>2859</v>
      </c>
      <c r="K66" s="21" t="n">
        <f aca="false">IFERROR(INDEX(Airbnb!$D:$D,MATCH($A66,Airbnb!$A:$A,0)),0)</f>
        <v>0</v>
      </c>
      <c r="L66" s="21" t="n">
        <f aca="false">IFERROR(INDEX(Airbnb!$E:$E,MATCH($A66,Airbnb!$A:$A,0)),0)</f>
        <v>0</v>
      </c>
      <c r="M66" s="22" t="n">
        <f aca="false">IFERROR(INDEX(Airbnb!$G:$G,MATCH($A66,Airbnb!$A:$A,0)),0)</f>
        <v>0</v>
      </c>
    </row>
    <row r="67" customFormat="false" ht="15" hidden="false" customHeight="true" outlineLevel="0" collapsed="false">
      <c r="A67" s="23" t="n">
        <f aca="false">Facebook!A66</f>
        <v>46101</v>
      </c>
      <c r="B67" s="24" t="n">
        <f aca="false">IFERROR(INDEX(Facebook!$F:$F,MATCH($A67,Facebook!$A:$A,0)),0)</f>
        <v>13</v>
      </c>
      <c r="C67" s="24" t="n">
        <f aca="false">IFERROR(INDEX(Instagram!$F:$F,MATCH($A67,Instagram!$A:$A,0)),0)</f>
        <v>54</v>
      </c>
      <c r="D67" s="24" t="n">
        <f aca="false">B67+C67</f>
        <v>67</v>
      </c>
      <c r="E67" s="24" t="n">
        <f aca="false">IFERROR(INDEX(Facebook!$E:$E,MATCH($A67,Facebook!$A:$A,0)),0)</f>
        <v>12</v>
      </c>
      <c r="F67" s="24" t="n">
        <f aca="false">IFERROR(INDEX(Instagram!$E:$E,MATCH($A67,Instagram!$A:$A,0)),0)</f>
        <v>30</v>
      </c>
      <c r="G67" s="24" t="n">
        <f aca="false">E67+F67</f>
        <v>42</v>
      </c>
      <c r="H67" s="24" t="n">
        <f aca="false">IFERROR(INDEX(Website!$B:$B,MATCH($A67,Website!$A:$A,0)),0)</f>
        <v>2872</v>
      </c>
      <c r="I67" s="24" t="n">
        <f aca="false">IFERROR(INDEX(Airbnb!$C:$C,MATCH($A67,Airbnb!$A:$A,0)),0)</f>
        <v>13</v>
      </c>
      <c r="J67" s="24" t="n">
        <f aca="false">H67+I67</f>
        <v>2885</v>
      </c>
      <c r="K67" s="24" t="n">
        <f aca="false">IFERROR(INDEX(Airbnb!$D:$D,MATCH($A67,Airbnb!$A:$A,0)),0)</f>
        <v>0</v>
      </c>
      <c r="L67" s="24" t="n">
        <f aca="false">IFERROR(INDEX(Airbnb!$E:$E,MATCH($A67,Airbnb!$A:$A,0)),0)</f>
        <v>0</v>
      </c>
      <c r="M67" s="25" t="n">
        <f aca="false">IFERROR(INDEX(Airbnb!$G:$G,MATCH($A67,Airbnb!$A:$A,0)),0)</f>
        <v>0</v>
      </c>
    </row>
    <row r="68" customFormat="false" ht="15" hidden="false" customHeight="true" outlineLevel="0" collapsed="false">
      <c r="A68" s="20" t="n">
        <f aca="false">Facebook!A67</f>
        <v>46108</v>
      </c>
      <c r="B68" s="21" t="n">
        <f aca="false">IFERROR(INDEX(Facebook!$F:$F,MATCH($A68,Facebook!$A:$A,0)),0)</f>
        <v>14</v>
      </c>
      <c r="C68" s="21" t="n">
        <f aca="false">IFERROR(INDEX(Instagram!$F:$F,MATCH($A68,Instagram!$A:$A,0)),0)</f>
        <v>17</v>
      </c>
      <c r="D68" s="21" t="n">
        <f aca="false">B68+C68</f>
        <v>31</v>
      </c>
      <c r="E68" s="21" t="n">
        <f aca="false">IFERROR(INDEX(Facebook!$E:$E,MATCH($A68,Facebook!$A:$A,0)),0)</f>
        <v>14</v>
      </c>
      <c r="F68" s="21" t="n">
        <f aca="false">IFERROR(INDEX(Instagram!$E:$E,MATCH($A68,Instagram!$A:$A,0)),0)</f>
        <v>33</v>
      </c>
      <c r="G68" s="21" t="n">
        <f aca="false">E68+F68</f>
        <v>47</v>
      </c>
      <c r="H68" s="21" t="n">
        <f aca="false">IFERROR(INDEX(Website!$B:$B,MATCH($A68,Website!$A:$A,0)),0)</f>
        <v>2898</v>
      </c>
      <c r="I68" s="21" t="n">
        <f aca="false">IFERROR(INDEX(Airbnb!$C:$C,MATCH($A68,Airbnb!$A:$A,0)),0)</f>
        <v>4</v>
      </c>
      <c r="J68" s="21" t="n">
        <f aca="false">H68+I68</f>
        <v>2902</v>
      </c>
      <c r="K68" s="21" t="n">
        <f aca="false">IFERROR(INDEX(Airbnb!$D:$D,MATCH($A68,Airbnb!$A:$A,0)),0)</f>
        <v>1</v>
      </c>
      <c r="L68" s="21" t="n">
        <f aca="false">IFERROR(INDEX(Airbnb!$E:$E,MATCH($A68,Airbnb!$A:$A,0)),0)</f>
        <v>0</v>
      </c>
      <c r="M68" s="22" t="n">
        <f aca="false">IFERROR(INDEX(Airbnb!$G:$G,MATCH($A68,Airbnb!$A:$A,0)),0)</f>
        <v>0</v>
      </c>
    </row>
    <row r="69" customFormat="false" ht="15" hidden="false" customHeight="true" outlineLevel="0" collapsed="false">
      <c r="A69" s="23" t="n">
        <f aca="false">Facebook!A68</f>
        <v>46115</v>
      </c>
      <c r="B69" s="24" t="n">
        <f aca="false">IFERROR(INDEX(Facebook!$F:$F,MATCH($A69,Facebook!$A:$A,0)),0)</f>
        <v>12</v>
      </c>
      <c r="C69" s="24" t="n">
        <f aca="false">IFERROR(INDEX(Instagram!$F:$F,MATCH($A69,Instagram!$A:$A,0)),0)</f>
        <v>34</v>
      </c>
      <c r="D69" s="24" t="n">
        <f aca="false">B69+C69</f>
        <v>46</v>
      </c>
      <c r="E69" s="24" t="n">
        <f aca="false">IFERROR(INDEX(Facebook!$E:$E,MATCH($A69,Facebook!$A:$A,0)),0)</f>
        <v>11</v>
      </c>
      <c r="F69" s="24" t="n">
        <f aca="false">IFERROR(INDEX(Instagram!$E:$E,MATCH($A69,Instagram!$A:$A,0)),0)</f>
        <v>44</v>
      </c>
      <c r="G69" s="24" t="n">
        <f aca="false">E69+F69</f>
        <v>55</v>
      </c>
      <c r="H69" s="24" t="n">
        <f aca="false">IFERROR(INDEX(Website!$B:$B,MATCH($A69,Website!$A:$A,0)),0)</f>
        <v>2924</v>
      </c>
      <c r="I69" s="24" t="n">
        <f aca="false">IFERROR(INDEX(Airbnb!$C:$C,MATCH($A69,Airbnb!$A:$A,0)),0)</f>
        <v>7</v>
      </c>
      <c r="J69" s="24" t="n">
        <f aca="false">H69+I69</f>
        <v>2931</v>
      </c>
      <c r="K69" s="24" t="n">
        <f aca="false">IFERROR(INDEX(Airbnb!$D:$D,MATCH($A69,Airbnb!$A:$A,0)),0)</f>
        <v>1</v>
      </c>
      <c r="L69" s="24" t="n">
        <f aca="false">IFERROR(INDEX(Airbnb!$E:$E,MATCH($A69,Airbnb!$A:$A,0)),0)</f>
        <v>0</v>
      </c>
      <c r="M69" s="25" t="n">
        <f aca="false">IFERROR(INDEX(Airbnb!$G:$G,MATCH($A69,Airbnb!$A:$A,0)),0)</f>
        <v>0</v>
      </c>
    </row>
    <row r="70" customFormat="false" ht="15" hidden="false" customHeight="true" outlineLevel="0" collapsed="false">
      <c r="A70" s="20" t="n">
        <f aca="false">Facebook!A69</f>
        <v>46122</v>
      </c>
      <c r="B70" s="21" t="n">
        <f aca="false">IFERROR(INDEX(Facebook!$F:$F,MATCH($A70,Facebook!$A:$A,0)),0)</f>
        <v>17</v>
      </c>
      <c r="C70" s="21" t="n">
        <f aca="false">IFERROR(INDEX(Instagram!$F:$F,MATCH($A70,Instagram!$A:$A,0)),0)</f>
        <v>22</v>
      </c>
      <c r="D70" s="21" t="n">
        <f aca="false">B70+C70</f>
        <v>39</v>
      </c>
      <c r="E70" s="21" t="n">
        <f aca="false">IFERROR(INDEX(Facebook!$E:$E,MATCH($A70,Facebook!$A:$A,0)),0)</f>
        <v>5</v>
      </c>
      <c r="F70" s="21" t="n">
        <f aca="false">IFERROR(INDEX(Instagram!$E:$E,MATCH($A70,Instagram!$A:$A,0)),0)</f>
        <v>21</v>
      </c>
      <c r="G70" s="21" t="n">
        <f aca="false">E70+F70</f>
        <v>26</v>
      </c>
      <c r="H70" s="21" t="n">
        <f aca="false">IFERROR(INDEX(Website!$B:$B,MATCH($A70,Website!$A:$A,0)),0)</f>
        <v>2950</v>
      </c>
      <c r="I70" s="21" t="n">
        <f aca="false">IFERROR(INDEX(Airbnb!$C:$C,MATCH($A70,Airbnb!$A:$A,0)),0)</f>
        <v>8</v>
      </c>
      <c r="J70" s="21" t="n">
        <f aca="false">H70+I70</f>
        <v>2958</v>
      </c>
      <c r="K70" s="21" t="n">
        <f aca="false">IFERROR(INDEX(Airbnb!$D:$D,MATCH($A70,Airbnb!$A:$A,0)),0)</f>
        <v>0</v>
      </c>
      <c r="L70" s="21" t="n">
        <f aca="false">IFERROR(INDEX(Airbnb!$E:$E,MATCH($A70,Airbnb!$A:$A,0)),0)</f>
        <v>0</v>
      </c>
      <c r="M70" s="22" t="n">
        <f aca="false">IFERROR(INDEX(Airbnb!$G:$G,MATCH($A70,Airbnb!$A:$A,0)),0)</f>
        <v>0</v>
      </c>
    </row>
    <row r="71" customFormat="false" ht="15" hidden="false" customHeight="true" outlineLevel="0" collapsed="false">
      <c r="A71" s="23" t="n">
        <f aca="false">Facebook!A70</f>
        <v>46129</v>
      </c>
      <c r="B71" s="24" t="n">
        <f aca="false">IFERROR(INDEX(Facebook!$F:$F,MATCH($A71,Facebook!$A:$A,0)),0)</f>
        <v>40</v>
      </c>
      <c r="C71" s="24" t="n">
        <f aca="false">IFERROR(INDEX(Instagram!$F:$F,MATCH($A71,Instagram!$A:$A,0)),0)</f>
        <v>16</v>
      </c>
      <c r="D71" s="24" t="n">
        <f aca="false">B71+C71</f>
        <v>56</v>
      </c>
      <c r="E71" s="24" t="n">
        <f aca="false">IFERROR(INDEX(Facebook!$E:$E,MATCH($A71,Facebook!$A:$A,0)),0)</f>
        <v>3</v>
      </c>
      <c r="F71" s="24" t="n">
        <f aca="false">IFERROR(INDEX(Instagram!$E:$E,MATCH($A71,Instagram!$A:$A,0)),0)</f>
        <v>28</v>
      </c>
      <c r="G71" s="24" t="n">
        <f aca="false">E71+F71</f>
        <v>31</v>
      </c>
      <c r="H71" s="24" t="n">
        <f aca="false">IFERROR(INDEX(Website!$B:$B,MATCH($A71,Website!$A:$A,0)),0)</f>
        <v>2976</v>
      </c>
      <c r="I71" s="24" t="n">
        <f aca="false">IFERROR(INDEX(Airbnb!$C:$C,MATCH($A71,Airbnb!$A:$A,0)),0)</f>
        <v>4</v>
      </c>
      <c r="J71" s="24" t="n">
        <f aca="false">H71+I71</f>
        <v>2980</v>
      </c>
      <c r="K71" s="24" t="n">
        <f aca="false">IFERROR(INDEX(Airbnb!$D:$D,MATCH($A71,Airbnb!$A:$A,0)),0)</f>
        <v>0</v>
      </c>
      <c r="L71" s="24" t="n">
        <f aca="false">IFERROR(INDEX(Airbnb!$E:$E,MATCH($A71,Airbnb!$A:$A,0)),0)</f>
        <v>0</v>
      </c>
      <c r="M71" s="25" t="n">
        <f aca="false">IFERROR(INDEX(Airbnb!$G:$G,MATCH($A71,Airbnb!$A:$A,0)),0)</f>
        <v>0</v>
      </c>
    </row>
    <row r="72" customFormat="false" ht="15" hidden="false" customHeight="true" outlineLevel="0" collapsed="false">
      <c r="A72" s="20" t="n">
        <f aca="false">Facebook!A71</f>
        <v>46136</v>
      </c>
      <c r="B72" s="21" t="n">
        <f aca="false">IFERROR(INDEX(Facebook!$F:$F,MATCH($A72,Facebook!$A:$A,0)),0)</f>
        <v>35</v>
      </c>
      <c r="C72" s="21" t="n">
        <f aca="false">IFERROR(INDEX(Instagram!$F:$F,MATCH($A72,Instagram!$A:$A,0)),0)</f>
        <v>17</v>
      </c>
      <c r="D72" s="21" t="n">
        <f aca="false">B72+C72</f>
        <v>52</v>
      </c>
      <c r="E72" s="21" t="n">
        <f aca="false">IFERROR(INDEX(Facebook!$E:$E,MATCH($A72,Facebook!$A:$A,0)),0)</f>
        <v>4</v>
      </c>
      <c r="F72" s="21" t="n">
        <f aca="false">IFERROR(INDEX(Instagram!$E:$E,MATCH($A72,Instagram!$A:$A,0)),0)</f>
        <v>35</v>
      </c>
      <c r="G72" s="21" t="n">
        <f aca="false">E72+F72</f>
        <v>39</v>
      </c>
      <c r="H72" s="21" t="n">
        <f aca="false">IFERROR(INDEX(Website!$B:$B,MATCH($A72,Website!$A:$A,0)),0)</f>
        <v>3002</v>
      </c>
      <c r="I72" s="21" t="n">
        <f aca="false">IFERROR(INDEX(Airbnb!$C:$C,MATCH($A72,Airbnb!$A:$A,0)),0)</f>
        <v>8</v>
      </c>
      <c r="J72" s="21" t="n">
        <f aca="false">H72+I72</f>
        <v>3010</v>
      </c>
      <c r="K72" s="21" t="n">
        <f aca="false">IFERROR(INDEX(Airbnb!$D:$D,MATCH($A72,Airbnb!$A:$A,0)),0)</f>
        <v>0</v>
      </c>
      <c r="L72" s="21" t="n">
        <f aca="false">IFERROR(INDEX(Airbnb!$E:$E,MATCH($A72,Airbnb!$A:$A,0)),0)</f>
        <v>0</v>
      </c>
      <c r="M72" s="22" t="n">
        <f aca="false">IFERROR(INDEX(Airbnb!$G:$G,MATCH($A72,Airbnb!$A:$A,0)),0)</f>
        <v>0</v>
      </c>
    </row>
    <row r="73" customFormat="false" ht="15" hidden="false" customHeight="true" outlineLevel="0" collapsed="false">
      <c r="A73" s="23" t="n">
        <f aca="false">Facebook!A72</f>
        <v>46143</v>
      </c>
      <c r="B73" s="24" t="n">
        <f aca="false">IFERROR(INDEX(Facebook!$F:$F,MATCH($A73,Facebook!$A:$A,0)),0)</f>
        <v>45</v>
      </c>
      <c r="C73" s="24" t="n">
        <f aca="false">IFERROR(INDEX(Instagram!$F:$F,MATCH($A73,Instagram!$A:$A,0)),0)</f>
        <v>27</v>
      </c>
      <c r="D73" s="24" t="n">
        <f aca="false">B73+C73</f>
        <v>72</v>
      </c>
      <c r="E73" s="24" t="n">
        <f aca="false">IFERROR(INDEX(Facebook!$E:$E,MATCH($A73,Facebook!$A:$A,0)),0)</f>
        <v>2</v>
      </c>
      <c r="F73" s="24" t="n">
        <f aca="false">IFERROR(INDEX(Instagram!$E:$E,MATCH($A73,Instagram!$A:$A,0)),0)</f>
        <v>17</v>
      </c>
      <c r="G73" s="24" t="n">
        <f aca="false">E73+F73</f>
        <v>19</v>
      </c>
      <c r="H73" s="24" t="n">
        <f aca="false">IFERROR(INDEX(Website!$B:$B,MATCH($A73,Website!$A:$A,0)),0)</f>
        <v>3028</v>
      </c>
      <c r="I73" s="24" t="n">
        <f aca="false">IFERROR(INDEX(Airbnb!$C:$C,MATCH($A73,Airbnb!$A:$A,0)),0)</f>
        <v>11</v>
      </c>
      <c r="J73" s="24" t="n">
        <f aca="false">H73+I73</f>
        <v>3039</v>
      </c>
      <c r="K73" s="24" t="n">
        <f aca="false">IFERROR(INDEX(Airbnb!$D:$D,MATCH($A73,Airbnb!$A:$A,0)),0)</f>
        <v>0</v>
      </c>
      <c r="L73" s="24" t="n">
        <f aca="false">IFERROR(INDEX(Airbnb!$E:$E,MATCH($A73,Airbnb!$A:$A,0)),0)</f>
        <v>0</v>
      </c>
      <c r="M73" s="25" t="n">
        <f aca="false">IFERROR(INDEX(Airbnb!$G:$G,MATCH($A73,Airbnb!$A:$A,0)),0)</f>
        <v>0</v>
      </c>
    </row>
    <row r="74" customFormat="false" ht="15" hidden="false" customHeight="true" outlineLevel="0" collapsed="false">
      <c r="A74" s="20" t="n">
        <f aca="false">Facebook!A73</f>
        <v>46150</v>
      </c>
      <c r="B74" s="21" t="n">
        <f aca="false">IFERROR(INDEX(Facebook!$F:$F,MATCH($A74,Facebook!$A:$A,0)),0)</f>
        <v>34</v>
      </c>
      <c r="C74" s="21" t="n">
        <f aca="false">IFERROR(INDEX(Instagram!$F:$F,MATCH($A74,Instagram!$A:$A,0)),0)</f>
        <v>34</v>
      </c>
      <c r="D74" s="21" t="n">
        <f aca="false">B74+C74</f>
        <v>68</v>
      </c>
      <c r="E74" s="21" t="n">
        <f aca="false">IFERROR(INDEX(Facebook!$E:$E,MATCH($A74,Facebook!$A:$A,0)),0)</f>
        <v>2</v>
      </c>
      <c r="F74" s="21" t="n">
        <f aca="false">IFERROR(INDEX(Instagram!$E:$E,MATCH($A74,Instagram!$A:$A,0)),0)</f>
        <v>25</v>
      </c>
      <c r="G74" s="21" t="n">
        <f aca="false">E74+F74</f>
        <v>27</v>
      </c>
      <c r="H74" s="21" t="n">
        <f aca="false">IFERROR(INDEX(Website!$B:$B,MATCH($A74,Website!$A:$A,0)),0)</f>
        <v>3054</v>
      </c>
      <c r="I74" s="21" t="n">
        <f aca="false">IFERROR(INDEX(Airbnb!$C:$C,MATCH($A74,Airbnb!$A:$A,0)),0)</f>
        <v>13</v>
      </c>
      <c r="J74" s="21" t="n">
        <f aca="false">H74+I74</f>
        <v>3067</v>
      </c>
      <c r="K74" s="21" t="n">
        <f aca="false">IFERROR(INDEX(Airbnb!$D:$D,MATCH($A74,Airbnb!$A:$A,0)),0)</f>
        <v>1</v>
      </c>
      <c r="L74" s="21" t="n">
        <f aca="false">IFERROR(INDEX(Airbnb!$E:$E,MATCH($A74,Airbnb!$A:$A,0)),0)</f>
        <v>1</v>
      </c>
      <c r="M74" s="22" t="n">
        <f aca="false">IFERROR(INDEX(Airbnb!$G:$G,MATCH($A74,Airbnb!$A:$A,0)),0)</f>
        <v>284</v>
      </c>
    </row>
    <row r="75" customFormat="false" ht="15" hidden="false" customHeight="true" outlineLevel="0" collapsed="false">
      <c r="A75" s="23" t="n">
        <f aca="false">Facebook!A74</f>
        <v>46157</v>
      </c>
      <c r="B75" s="24" t="n">
        <f aca="false">IFERROR(INDEX(Facebook!$F:$F,MATCH($A75,Facebook!$A:$A,0)),0)</f>
        <v>23</v>
      </c>
      <c r="C75" s="24" t="n">
        <f aca="false">IFERROR(INDEX(Instagram!$F:$F,MATCH($A75,Instagram!$A:$A,0)),0)</f>
        <v>27</v>
      </c>
      <c r="D75" s="24" t="n">
        <f aca="false">B75+C75</f>
        <v>50</v>
      </c>
      <c r="E75" s="24" t="n">
        <f aca="false">IFERROR(INDEX(Facebook!$E:$E,MATCH($A75,Facebook!$A:$A,0)),0)</f>
        <v>3</v>
      </c>
      <c r="F75" s="24" t="n">
        <f aca="false">IFERROR(INDEX(Instagram!$E:$E,MATCH($A75,Instagram!$A:$A,0)),0)</f>
        <v>40</v>
      </c>
      <c r="G75" s="24" t="n">
        <f aca="false">E75+F75</f>
        <v>43</v>
      </c>
      <c r="H75" s="24" t="n">
        <f aca="false">IFERROR(INDEX(Website!$B:$B,MATCH($A75,Website!$A:$A,0)),0)</f>
        <v>3080</v>
      </c>
      <c r="I75" s="24" t="n">
        <f aca="false">IFERROR(INDEX(Airbnb!$C:$C,MATCH($A75,Airbnb!$A:$A,0)),0)</f>
        <v>10</v>
      </c>
      <c r="J75" s="24" t="n">
        <f aca="false">H75+I75</f>
        <v>3090</v>
      </c>
      <c r="K75" s="24" t="n">
        <f aca="false">IFERROR(INDEX(Airbnb!$D:$D,MATCH($A75,Airbnb!$A:$A,0)),0)</f>
        <v>0</v>
      </c>
      <c r="L75" s="24" t="n">
        <f aca="false">IFERROR(INDEX(Airbnb!$E:$E,MATCH($A75,Airbnb!$A:$A,0)),0)</f>
        <v>0</v>
      </c>
      <c r="M75" s="25" t="n">
        <f aca="false">IFERROR(INDEX(Airbnb!$G:$G,MATCH($A75,Airbnb!$A:$A,0)),0)</f>
        <v>0</v>
      </c>
    </row>
    <row r="76" customFormat="false" ht="15" hidden="false" customHeight="true" outlineLevel="0" collapsed="false">
      <c r="A76" s="20" t="n">
        <f aca="false">Facebook!A75</f>
        <v>46164</v>
      </c>
      <c r="B76" s="21" t="n">
        <f aca="false">IFERROR(INDEX(Facebook!$F:$F,MATCH($A76,Facebook!$A:$A,0)),0)</f>
        <v>27</v>
      </c>
      <c r="C76" s="21" t="n">
        <f aca="false">IFERROR(INDEX(Instagram!$F:$F,MATCH($A76,Instagram!$A:$A,0)),0)</f>
        <v>20</v>
      </c>
      <c r="D76" s="21" t="n">
        <f aca="false">B76+C76</f>
        <v>47</v>
      </c>
      <c r="E76" s="21" t="n">
        <f aca="false">IFERROR(INDEX(Facebook!$E:$E,MATCH($A76,Facebook!$A:$A,0)),0)</f>
        <v>2</v>
      </c>
      <c r="F76" s="21" t="n">
        <f aca="false">IFERROR(INDEX(Instagram!$E:$E,MATCH($A76,Instagram!$A:$A,0)),0)</f>
        <v>38</v>
      </c>
      <c r="G76" s="21" t="n">
        <f aca="false">E76+F76</f>
        <v>40</v>
      </c>
      <c r="H76" s="21" t="n">
        <f aca="false">IFERROR(INDEX(Website!$B:$B,MATCH($A76,Website!$A:$A,0)),0)</f>
        <v>3106</v>
      </c>
      <c r="I76" s="21" t="n">
        <f aca="false">IFERROR(INDEX(Airbnb!$C:$C,MATCH($A76,Airbnb!$A:$A,0)),0)</f>
        <v>15</v>
      </c>
      <c r="J76" s="21" t="n">
        <f aca="false">H76+I76</f>
        <v>3121</v>
      </c>
      <c r="K76" s="21" t="n">
        <f aca="false">IFERROR(INDEX(Airbnb!$D:$D,MATCH($A76,Airbnb!$A:$A,0)),0)</f>
        <v>0</v>
      </c>
      <c r="L76" s="21" t="n">
        <f aca="false">IFERROR(INDEX(Airbnb!$E:$E,MATCH($A76,Airbnb!$A:$A,0)),0)</f>
        <v>0</v>
      </c>
      <c r="M76" s="22" t="n">
        <f aca="false">IFERROR(INDEX(Airbnb!$G:$G,MATCH($A76,Airbnb!$A:$A,0)),0)</f>
        <v>0</v>
      </c>
    </row>
    <row r="77" customFormat="false" ht="15" hidden="false" customHeight="true" outlineLevel="0" collapsed="false">
      <c r="A77" s="23" t="n">
        <f aca="false">Facebook!A76</f>
        <v>46171</v>
      </c>
      <c r="B77" s="24" t="n">
        <f aca="false">IFERROR(INDEX(Facebook!$F:$F,MATCH($A77,Facebook!$A:$A,0)),0)</f>
        <v>18</v>
      </c>
      <c r="C77" s="24" t="n">
        <f aca="false">IFERROR(INDEX(Instagram!$F:$F,MATCH($A77,Instagram!$A:$A,0)),0)</f>
        <v>35</v>
      </c>
      <c r="D77" s="24" t="n">
        <f aca="false">B77+C77</f>
        <v>53</v>
      </c>
      <c r="E77" s="24" t="n">
        <f aca="false">IFERROR(INDEX(Facebook!$E:$E,MATCH($A77,Facebook!$A:$A,0)),0)</f>
        <v>2</v>
      </c>
      <c r="F77" s="24" t="n">
        <f aca="false">IFERROR(INDEX(Instagram!$E:$E,MATCH($A77,Instagram!$A:$A,0)),0)</f>
        <v>34</v>
      </c>
      <c r="G77" s="24" t="n">
        <f aca="false">E77+F77</f>
        <v>36</v>
      </c>
      <c r="H77" s="24" t="n">
        <f aca="false">IFERROR(INDEX(Website!$B:$B,MATCH($A77,Website!$A:$A,0)),0)</f>
        <v>3132</v>
      </c>
      <c r="I77" s="24" t="n">
        <f aca="false">IFERROR(INDEX(Airbnb!$C:$C,MATCH($A77,Airbnb!$A:$A,0)),0)</f>
        <v>12</v>
      </c>
      <c r="J77" s="24" t="n">
        <f aca="false">H77+I77</f>
        <v>3144</v>
      </c>
      <c r="K77" s="24" t="n">
        <f aca="false">IFERROR(INDEX(Airbnb!$D:$D,MATCH($A77,Airbnb!$A:$A,0)),0)</f>
        <v>0</v>
      </c>
      <c r="L77" s="24" t="n">
        <f aca="false">IFERROR(INDEX(Airbnb!$E:$E,MATCH($A77,Airbnb!$A:$A,0)),0)</f>
        <v>0</v>
      </c>
      <c r="M77" s="25" t="n">
        <f aca="false">IFERROR(INDEX(Airbnb!$G:$G,MATCH($A77,Airbnb!$A:$A,0)),0)</f>
        <v>0</v>
      </c>
    </row>
    <row r="78" customFormat="false" ht="15" hidden="false" customHeight="true" outlineLevel="0" collapsed="false">
      <c r="A78" s="20" t="n">
        <f aca="false">Facebook!A77</f>
        <v>46178</v>
      </c>
      <c r="B78" s="21" t="n">
        <f aca="false">IFERROR(INDEX(Facebook!$F:$F,MATCH($A78,Facebook!$A:$A,0)),0)</f>
        <v>21</v>
      </c>
      <c r="C78" s="21" t="n">
        <f aca="false">IFERROR(INDEX(Instagram!$F:$F,MATCH($A78,Instagram!$A:$A,0)),0)</f>
        <v>43</v>
      </c>
      <c r="D78" s="21" t="n">
        <f aca="false">B78+C78</f>
        <v>64</v>
      </c>
      <c r="E78" s="21" t="n">
        <f aca="false">IFERROR(INDEX(Facebook!$E:$E,MATCH($A78,Facebook!$A:$A,0)),0)</f>
        <v>12</v>
      </c>
      <c r="F78" s="21" t="n">
        <f aca="false">IFERROR(INDEX(Instagram!$E:$E,MATCH($A78,Instagram!$A:$A,0)),0)</f>
        <v>32</v>
      </c>
      <c r="G78" s="21" t="n">
        <f aca="false">E78+F78</f>
        <v>44</v>
      </c>
      <c r="H78" s="21" t="n">
        <f aca="false">IFERROR(INDEX(Website!$B:$B,MATCH($A78,Website!$A:$A,0)),0)</f>
        <v>3158</v>
      </c>
      <c r="I78" s="21" t="n">
        <f aca="false">IFERROR(INDEX(Airbnb!$C:$C,MATCH($A78,Airbnb!$A:$A,0)),0)</f>
        <v>7</v>
      </c>
      <c r="J78" s="21" t="n">
        <f aca="false">H78+I78</f>
        <v>3165</v>
      </c>
      <c r="K78" s="21" t="n">
        <f aca="false">IFERROR(INDEX(Airbnb!$D:$D,MATCH($A78,Airbnb!$A:$A,0)),0)</f>
        <v>1</v>
      </c>
      <c r="L78" s="21" t="n">
        <f aca="false">IFERROR(INDEX(Airbnb!$E:$E,MATCH($A78,Airbnb!$A:$A,0)),0)</f>
        <v>1</v>
      </c>
      <c r="M78" s="22" t="n">
        <f aca="false">IFERROR(INDEX(Airbnb!$G:$G,MATCH($A78,Airbnb!$A:$A,0)),0)</f>
        <v>238</v>
      </c>
    </row>
    <row r="79" customFormat="false" ht="15" hidden="false" customHeight="true" outlineLevel="0" collapsed="false">
      <c r="A79" s="23" t="n">
        <f aca="false">Facebook!A78</f>
        <v>46185</v>
      </c>
      <c r="B79" s="24" t="n">
        <f aca="false">IFERROR(INDEX(Facebook!$F:$F,MATCH($A79,Facebook!$A:$A,0)),0)</f>
        <v>50</v>
      </c>
      <c r="C79" s="24" t="n">
        <f aca="false">IFERROR(INDEX(Instagram!$F:$F,MATCH($A79,Instagram!$A:$A,0)),0)</f>
        <v>44</v>
      </c>
      <c r="D79" s="24" t="n">
        <f aca="false">B79+C79</f>
        <v>94</v>
      </c>
      <c r="E79" s="24" t="n">
        <f aca="false">IFERROR(INDEX(Facebook!$E:$E,MATCH($A79,Facebook!$A:$A,0)),0)</f>
        <v>23</v>
      </c>
      <c r="F79" s="24" t="n">
        <f aca="false">IFERROR(INDEX(Instagram!$E:$E,MATCH($A79,Instagram!$A:$A,0)),0)</f>
        <v>35</v>
      </c>
      <c r="G79" s="24" t="n">
        <f aca="false">E79+F79</f>
        <v>58</v>
      </c>
      <c r="H79" s="24" t="n">
        <f aca="false">IFERROR(INDEX(Website!$B:$B,MATCH($A79,Website!$A:$A,0)),0)</f>
        <v>3184</v>
      </c>
      <c r="I79" s="24" t="n">
        <f aca="false">IFERROR(INDEX(Airbnb!$C:$C,MATCH($A79,Airbnb!$A:$A,0)),0)</f>
        <v>9</v>
      </c>
      <c r="J79" s="24" t="n">
        <f aca="false">H79+I79</f>
        <v>3193</v>
      </c>
      <c r="K79" s="24" t="n">
        <f aca="false">IFERROR(INDEX(Airbnb!$D:$D,MATCH($A79,Airbnb!$A:$A,0)),0)</f>
        <v>0</v>
      </c>
      <c r="L79" s="24" t="n">
        <f aca="false">IFERROR(INDEX(Airbnb!$E:$E,MATCH($A79,Airbnb!$A:$A,0)),0)</f>
        <v>0</v>
      </c>
      <c r="M79" s="25" t="n">
        <f aca="false">IFERROR(INDEX(Airbnb!$G:$G,MATCH($A79,Airbnb!$A:$A,0)),0)</f>
        <v>0</v>
      </c>
    </row>
    <row r="80" customFormat="false" ht="15" hidden="false" customHeight="true" outlineLevel="0" collapsed="false">
      <c r="A80" s="20" t="n">
        <f aca="false">Facebook!A79</f>
        <v>46192</v>
      </c>
      <c r="B80" s="21" t="n">
        <f aca="false">IFERROR(INDEX(Facebook!$F:$F,MATCH($A80,Facebook!$A:$A,0)),0)</f>
        <v>13</v>
      </c>
      <c r="C80" s="21" t="n">
        <f aca="false">IFERROR(INDEX(Instagram!$F:$F,MATCH($A80,Instagram!$A:$A,0)),0)</f>
        <v>55</v>
      </c>
      <c r="D80" s="21" t="n">
        <f aca="false">B80+C80</f>
        <v>68</v>
      </c>
      <c r="E80" s="21" t="n">
        <f aca="false">IFERROR(INDEX(Facebook!$E:$E,MATCH($A80,Facebook!$A:$A,0)),0)</f>
        <v>12</v>
      </c>
      <c r="F80" s="21" t="n">
        <f aca="false">IFERROR(INDEX(Instagram!$E:$E,MATCH($A80,Instagram!$A:$A,0)),0)</f>
        <v>40</v>
      </c>
      <c r="G80" s="21" t="n">
        <f aca="false">E80+F80</f>
        <v>52</v>
      </c>
      <c r="H80" s="21" t="n">
        <f aca="false">IFERROR(INDEX(Website!$B:$B,MATCH($A80,Website!$A:$A,0)),0)</f>
        <v>3210</v>
      </c>
      <c r="I80" s="21" t="n">
        <f aca="false">IFERROR(INDEX(Airbnb!$C:$C,MATCH($A80,Airbnb!$A:$A,0)),0)</f>
        <v>12</v>
      </c>
      <c r="J80" s="21" t="n">
        <f aca="false">H80+I80</f>
        <v>3222</v>
      </c>
      <c r="K80" s="21" t="n">
        <f aca="false">IFERROR(INDEX(Airbnb!$D:$D,MATCH($A80,Airbnb!$A:$A,0)),0)</f>
        <v>0</v>
      </c>
      <c r="L80" s="21" t="n">
        <f aca="false">IFERROR(INDEX(Airbnb!$E:$E,MATCH($A80,Airbnb!$A:$A,0)),0)</f>
        <v>0</v>
      </c>
      <c r="M80" s="22" t="n">
        <f aca="false">IFERROR(INDEX(Airbnb!$G:$G,MATCH($A80,Airbnb!$A:$A,0)),0)</f>
        <v>0</v>
      </c>
    </row>
    <row r="81" customFormat="false" ht="15" hidden="false" customHeight="true" outlineLevel="0" collapsed="false">
      <c r="A81" s="23" t="n">
        <f aca="false">Facebook!A80</f>
        <v>46199</v>
      </c>
      <c r="B81" s="24" t="n">
        <f aca="false">IFERROR(INDEX(Facebook!$F:$F,MATCH($A81,Facebook!$A:$A,0)),0)</f>
        <v>20</v>
      </c>
      <c r="C81" s="24" t="n">
        <f aca="false">IFERROR(INDEX(Instagram!$F:$F,MATCH($A81,Instagram!$A:$A,0)),0)</f>
        <v>0</v>
      </c>
      <c r="D81" s="24" t="n">
        <f aca="false">B81+C81</f>
        <v>20</v>
      </c>
      <c r="E81" s="24" t="n">
        <f aca="false">IFERROR(INDEX(Facebook!$E:$E,MATCH($A81,Facebook!$A:$A,0)),0)</f>
        <v>10</v>
      </c>
      <c r="F81" s="24" t="n">
        <f aca="false">IFERROR(INDEX(Instagram!$E:$E,MATCH($A81,Instagram!$A:$A,0)),0)</f>
        <v>0</v>
      </c>
      <c r="G81" s="24" t="n">
        <f aca="false">E81+F81</f>
        <v>10</v>
      </c>
      <c r="H81" s="24" t="n">
        <f aca="false">IFERROR(INDEX(Website!$B:$B,MATCH($A81,Website!$A:$A,0)),0)</f>
        <v>0</v>
      </c>
      <c r="I81" s="24" t="n">
        <f aca="false">IFERROR(INDEX(Airbnb!$C:$C,MATCH($A81,Airbnb!$A:$A,0)),0)</f>
        <v>0</v>
      </c>
      <c r="J81" s="24" t="n">
        <f aca="false">H81+I81</f>
        <v>0</v>
      </c>
      <c r="K81" s="24" t="n">
        <f aca="false">IFERROR(INDEX(Airbnb!$D:$D,MATCH($A81,Airbnb!$A:$A,0)),0)</f>
        <v>0</v>
      </c>
      <c r="L81" s="24" t="n">
        <f aca="false">IFERROR(INDEX(Airbnb!$E:$E,MATCH($A81,Airbnb!$A:$A,0)),0)</f>
        <v>0</v>
      </c>
      <c r="M81" s="25" t="n">
        <f aca="false">IFERROR(INDEX(Airbnb!$G:$G,MATCH($A81,Airbnb!$A:$A,0)),0)</f>
        <v>0</v>
      </c>
    </row>
    <row r="82" customFormat="false" ht="15" hidden="false" customHeight="true" outlineLevel="0" collapsed="false">
      <c r="A82" s="20" t="n">
        <f aca="false">Facebook!A81</f>
        <v>46206</v>
      </c>
      <c r="B82" s="21" t="n">
        <f aca="false">IFERROR(INDEX(Facebook!$F:$F,MATCH($A82,Facebook!$A:$A,0)),0)</f>
        <v>21</v>
      </c>
      <c r="C82" s="21" t="n">
        <f aca="false">IFERROR(INDEX(Instagram!$F:$F,MATCH($A82,Instagram!$A:$A,0)),0)</f>
        <v>0</v>
      </c>
      <c r="D82" s="21" t="n">
        <f aca="false">B82+C82</f>
        <v>21</v>
      </c>
      <c r="E82" s="21" t="n">
        <f aca="false">IFERROR(INDEX(Facebook!$E:$E,MATCH($A82,Facebook!$A:$A,0)),0)</f>
        <v>13</v>
      </c>
      <c r="F82" s="21" t="n">
        <f aca="false">IFERROR(INDEX(Instagram!$E:$E,MATCH($A82,Instagram!$A:$A,0)),0)</f>
        <v>0</v>
      </c>
      <c r="G82" s="21" t="n">
        <f aca="false">E82+F82</f>
        <v>13</v>
      </c>
      <c r="H82" s="21" t="n">
        <f aca="false">IFERROR(INDEX(Website!$B:$B,MATCH($A82,Website!$A:$A,0)),0)</f>
        <v>0</v>
      </c>
      <c r="I82" s="21" t="n">
        <f aca="false">IFERROR(INDEX(Airbnb!$C:$C,MATCH($A82,Airbnb!$A:$A,0)),0)</f>
        <v>0</v>
      </c>
      <c r="J82" s="21" t="n">
        <f aca="false">H82+I82</f>
        <v>0</v>
      </c>
      <c r="K82" s="21" t="n">
        <f aca="false">IFERROR(INDEX(Airbnb!$D:$D,MATCH($A82,Airbnb!$A:$A,0)),0)</f>
        <v>0</v>
      </c>
      <c r="L82" s="21" t="n">
        <f aca="false">IFERROR(INDEX(Airbnb!$E:$E,MATCH($A82,Airbnb!$A:$A,0)),0)</f>
        <v>0</v>
      </c>
      <c r="M82" s="22" t="n">
        <f aca="false">IFERROR(INDEX(Airbnb!$G:$G,MATCH($A82,Airbnb!$A:$A,0)),0)</f>
        <v>0</v>
      </c>
    </row>
    <row r="83" customFormat="false" ht="15" hidden="false" customHeight="true" outlineLevel="0" collapsed="false">
      <c r="A83" s="23" t="n">
        <f aca="false">Facebook!A82</f>
        <v>46213</v>
      </c>
      <c r="B83" s="24" t="n">
        <f aca="false">IFERROR(INDEX(Facebook!$F:$F,MATCH($A83,Facebook!$A:$A,0)),0)</f>
        <v>14</v>
      </c>
      <c r="C83" s="24" t="n">
        <f aca="false">IFERROR(INDEX(Instagram!$F:$F,MATCH($A83,Instagram!$A:$A,0)),0)</f>
        <v>0</v>
      </c>
      <c r="D83" s="24" t="n">
        <f aca="false">B83+C83</f>
        <v>14</v>
      </c>
      <c r="E83" s="24" t="n">
        <f aca="false">IFERROR(INDEX(Facebook!$E:$E,MATCH($A83,Facebook!$A:$A,0)),0)</f>
        <v>11</v>
      </c>
      <c r="F83" s="24" t="n">
        <f aca="false">IFERROR(INDEX(Instagram!$E:$E,MATCH($A83,Instagram!$A:$A,0)),0)</f>
        <v>0</v>
      </c>
      <c r="G83" s="24" t="n">
        <f aca="false">E83+F83</f>
        <v>11</v>
      </c>
      <c r="H83" s="24" t="n">
        <f aca="false">IFERROR(INDEX(Website!$B:$B,MATCH($A83,Website!$A:$A,0)),0)</f>
        <v>0</v>
      </c>
      <c r="I83" s="24" t="n">
        <f aca="false">IFERROR(INDEX(Airbnb!$C:$C,MATCH($A83,Airbnb!$A:$A,0)),0)</f>
        <v>0</v>
      </c>
      <c r="J83" s="24" t="n">
        <f aca="false">H83+I83</f>
        <v>0</v>
      </c>
      <c r="K83" s="24" t="n">
        <f aca="false">IFERROR(INDEX(Airbnb!$D:$D,MATCH($A83,Airbnb!$A:$A,0)),0)</f>
        <v>0</v>
      </c>
      <c r="L83" s="24" t="n">
        <f aca="false">IFERROR(INDEX(Airbnb!$E:$E,MATCH($A83,Airbnb!$A:$A,0)),0)</f>
        <v>0</v>
      </c>
      <c r="M83" s="25" t="n">
        <f aca="false">IFERROR(INDEX(Airbnb!$G:$G,MATCH($A83,Airbnb!$A:$A,0)),0)</f>
        <v>0</v>
      </c>
    </row>
    <row r="84" customFormat="false" ht="15" hidden="false" customHeight="true" outlineLevel="0" collapsed="false">
      <c r="A84" s="20" t="n">
        <f aca="false">Facebook!A83</f>
        <v>46220</v>
      </c>
      <c r="B84" s="21" t="n">
        <f aca="false">IFERROR(INDEX(Facebook!$F:$F,MATCH($A84,Facebook!$A:$A,0)),0)</f>
        <v>0</v>
      </c>
      <c r="C84" s="21" t="n">
        <f aca="false">IFERROR(INDEX(Instagram!$F:$F,MATCH($A84,Instagram!$A:$A,0)),0)</f>
        <v>0</v>
      </c>
      <c r="D84" s="21" t="n">
        <f aca="false">B84+C84</f>
        <v>0</v>
      </c>
      <c r="E84" s="21" t="n">
        <f aca="false">IFERROR(INDEX(Facebook!$E:$E,MATCH($A84,Facebook!$A:$A,0)),0)</f>
        <v>0</v>
      </c>
      <c r="F84" s="21" t="n">
        <f aca="false">IFERROR(INDEX(Instagram!$E:$E,MATCH($A84,Instagram!$A:$A,0)),0)</f>
        <v>0</v>
      </c>
      <c r="G84" s="21" t="n">
        <f aca="false">E84+F84</f>
        <v>0</v>
      </c>
      <c r="H84" s="21" t="n">
        <f aca="false">IFERROR(INDEX(Website!$B:$B,MATCH($A84,Website!$A:$A,0)),0)</f>
        <v>0</v>
      </c>
      <c r="I84" s="21" t="n">
        <f aca="false">IFERROR(INDEX(Airbnb!$C:$C,MATCH($A84,Airbnb!$A:$A,0)),0)</f>
        <v>0</v>
      </c>
      <c r="J84" s="21" t="n">
        <f aca="false">H84+I84</f>
        <v>0</v>
      </c>
      <c r="K84" s="21" t="n">
        <f aca="false">IFERROR(INDEX(Airbnb!$D:$D,MATCH($A84,Airbnb!$A:$A,0)),0)</f>
        <v>0</v>
      </c>
      <c r="L84" s="21" t="n">
        <f aca="false">IFERROR(INDEX(Airbnb!$E:$E,MATCH($A84,Airbnb!$A:$A,0)),0)</f>
        <v>0</v>
      </c>
      <c r="M84" s="22" t="n">
        <f aca="false">IFERROR(INDEX(Airbnb!$G:$G,MATCH($A84,Airbnb!$A:$A,0)),0)</f>
        <v>0</v>
      </c>
    </row>
    <row r="85" customFormat="false" ht="15" hidden="false" customHeight="true" outlineLevel="0" collapsed="false">
      <c r="A85" s="23" t="n">
        <f aca="false">Facebook!A84</f>
        <v>46227</v>
      </c>
      <c r="B85" s="24" t="n">
        <f aca="false">IFERROR(INDEX(Facebook!$F:$F,MATCH($A85,Facebook!$A:$A,0)),0)</f>
        <v>0</v>
      </c>
      <c r="C85" s="24" t="n">
        <f aca="false">IFERROR(INDEX(Instagram!$F:$F,MATCH($A85,Instagram!$A:$A,0)),0)</f>
        <v>0</v>
      </c>
      <c r="D85" s="24" t="n">
        <f aca="false">B85+C85</f>
        <v>0</v>
      </c>
      <c r="E85" s="24" t="n">
        <f aca="false">IFERROR(INDEX(Facebook!$E:$E,MATCH($A85,Facebook!$A:$A,0)),0)</f>
        <v>0</v>
      </c>
      <c r="F85" s="24" t="n">
        <f aca="false">IFERROR(INDEX(Instagram!$E:$E,MATCH($A85,Instagram!$A:$A,0)),0)</f>
        <v>0</v>
      </c>
      <c r="G85" s="24" t="n">
        <f aca="false">E85+F85</f>
        <v>0</v>
      </c>
      <c r="H85" s="24" t="n">
        <f aca="false">IFERROR(INDEX(Website!$B:$B,MATCH($A85,Website!$A:$A,0)),0)</f>
        <v>0</v>
      </c>
      <c r="I85" s="24" t="n">
        <f aca="false">IFERROR(INDEX(Airbnb!$C:$C,MATCH($A85,Airbnb!$A:$A,0)),0)</f>
        <v>0</v>
      </c>
      <c r="J85" s="24" t="n">
        <f aca="false">H85+I85</f>
        <v>0</v>
      </c>
      <c r="K85" s="24" t="n">
        <f aca="false">IFERROR(INDEX(Airbnb!$D:$D,MATCH($A85,Airbnb!$A:$A,0)),0)</f>
        <v>0</v>
      </c>
      <c r="L85" s="24" t="n">
        <f aca="false">IFERROR(INDEX(Airbnb!$E:$E,MATCH($A85,Airbnb!$A:$A,0)),0)</f>
        <v>0</v>
      </c>
      <c r="M85" s="25" t="n">
        <f aca="false">IFERROR(INDEX(Airbnb!$G:$G,MATCH($A85,Airbnb!$A:$A,0)),0)</f>
        <v>0</v>
      </c>
    </row>
    <row r="86" customFormat="false" ht="15" hidden="false" customHeight="true" outlineLevel="0" collapsed="false">
      <c r="A86" s="20" t="n">
        <f aca="false">Facebook!A85</f>
        <v>46234</v>
      </c>
      <c r="B86" s="21" t="n">
        <f aca="false">IFERROR(INDEX(Facebook!$F:$F,MATCH($A86,Facebook!$A:$A,0)),0)</f>
        <v>0</v>
      </c>
      <c r="C86" s="21" t="n">
        <f aca="false">IFERROR(INDEX(Instagram!$F:$F,MATCH($A86,Instagram!$A:$A,0)),0)</f>
        <v>0</v>
      </c>
      <c r="D86" s="21" t="n">
        <f aca="false">B86+C86</f>
        <v>0</v>
      </c>
      <c r="E86" s="21" t="n">
        <f aca="false">IFERROR(INDEX(Facebook!$E:$E,MATCH($A86,Facebook!$A:$A,0)),0)</f>
        <v>0</v>
      </c>
      <c r="F86" s="21" t="n">
        <f aca="false">IFERROR(INDEX(Instagram!$E:$E,MATCH($A86,Instagram!$A:$A,0)),0)</f>
        <v>0</v>
      </c>
      <c r="G86" s="21" t="n">
        <f aca="false">E86+F86</f>
        <v>0</v>
      </c>
      <c r="H86" s="21" t="n">
        <f aca="false">IFERROR(INDEX(Website!$B:$B,MATCH($A86,Website!$A:$A,0)),0)</f>
        <v>0</v>
      </c>
      <c r="I86" s="21" t="n">
        <f aca="false">IFERROR(INDEX(Airbnb!$C:$C,MATCH($A86,Airbnb!$A:$A,0)),0)</f>
        <v>0</v>
      </c>
      <c r="J86" s="21" t="n">
        <f aca="false">H86+I86</f>
        <v>0</v>
      </c>
      <c r="K86" s="21" t="n">
        <f aca="false">IFERROR(INDEX(Airbnb!$D:$D,MATCH($A86,Airbnb!$A:$A,0)),0)</f>
        <v>0</v>
      </c>
      <c r="L86" s="21" t="n">
        <f aca="false">IFERROR(INDEX(Airbnb!$E:$E,MATCH($A86,Airbnb!$A:$A,0)),0)</f>
        <v>0</v>
      </c>
      <c r="M86" s="22" t="n">
        <f aca="false">IFERROR(INDEX(Airbnb!$G:$G,MATCH($A86,Airbnb!$A:$A,0)),0)</f>
        <v>0</v>
      </c>
    </row>
    <row r="87" customFormat="false" ht="15" hidden="false" customHeight="true" outlineLevel="0" collapsed="false">
      <c r="A87" s="23" t="n">
        <f aca="false">Facebook!A86</f>
        <v>46241</v>
      </c>
      <c r="B87" s="24" t="n">
        <f aca="false">IFERROR(INDEX(Facebook!$F:$F,MATCH($A87,Facebook!$A:$A,0)),0)</f>
        <v>0</v>
      </c>
      <c r="C87" s="24" t="n">
        <f aca="false">IFERROR(INDEX(Instagram!$F:$F,MATCH($A87,Instagram!$A:$A,0)),0)</f>
        <v>0</v>
      </c>
      <c r="D87" s="24" t="n">
        <f aca="false">B87+C87</f>
        <v>0</v>
      </c>
      <c r="E87" s="24" t="n">
        <f aca="false">IFERROR(INDEX(Facebook!$E:$E,MATCH($A87,Facebook!$A:$A,0)),0)</f>
        <v>0</v>
      </c>
      <c r="F87" s="24" t="n">
        <f aca="false">IFERROR(INDEX(Instagram!$E:$E,MATCH($A87,Instagram!$A:$A,0)),0)</f>
        <v>0</v>
      </c>
      <c r="G87" s="24" t="n">
        <f aca="false">E87+F87</f>
        <v>0</v>
      </c>
      <c r="H87" s="24" t="n">
        <f aca="false">IFERROR(INDEX(Website!$B:$B,MATCH($A87,Website!$A:$A,0)),0)</f>
        <v>0</v>
      </c>
      <c r="I87" s="24" t="n">
        <f aca="false">IFERROR(INDEX(Airbnb!$C:$C,MATCH($A87,Airbnb!$A:$A,0)),0)</f>
        <v>0</v>
      </c>
      <c r="J87" s="24" t="n">
        <f aca="false">H87+I87</f>
        <v>0</v>
      </c>
      <c r="K87" s="24" t="n">
        <f aca="false">IFERROR(INDEX(Airbnb!$D:$D,MATCH($A87,Airbnb!$A:$A,0)),0)</f>
        <v>0</v>
      </c>
      <c r="L87" s="24" t="n">
        <f aca="false">IFERROR(INDEX(Airbnb!$E:$E,MATCH($A87,Airbnb!$A:$A,0)),0)</f>
        <v>0</v>
      </c>
      <c r="M87" s="25" t="n">
        <f aca="false">IFERROR(INDEX(Airbnb!$G:$G,MATCH($A87,Airbnb!$A:$A,0)),0)</f>
        <v>0</v>
      </c>
    </row>
    <row r="88" customFormat="false" ht="15" hidden="false" customHeight="true" outlineLevel="0" collapsed="false">
      <c r="A88" s="20" t="n">
        <f aca="false">Facebook!A87</f>
        <v>46248</v>
      </c>
      <c r="B88" s="21" t="n">
        <f aca="false">IFERROR(INDEX(Facebook!$F:$F,MATCH($A88,Facebook!$A:$A,0)),0)</f>
        <v>0</v>
      </c>
      <c r="C88" s="21" t="n">
        <f aca="false">IFERROR(INDEX(Instagram!$F:$F,MATCH($A88,Instagram!$A:$A,0)),0)</f>
        <v>0</v>
      </c>
      <c r="D88" s="21" t="n">
        <f aca="false">B88+C88</f>
        <v>0</v>
      </c>
      <c r="E88" s="21" t="n">
        <f aca="false">IFERROR(INDEX(Facebook!$E:$E,MATCH($A88,Facebook!$A:$A,0)),0)</f>
        <v>0</v>
      </c>
      <c r="F88" s="21" t="n">
        <f aca="false">IFERROR(INDEX(Instagram!$E:$E,MATCH($A88,Instagram!$A:$A,0)),0)</f>
        <v>0</v>
      </c>
      <c r="G88" s="21" t="n">
        <f aca="false">E88+F88</f>
        <v>0</v>
      </c>
      <c r="H88" s="21" t="n">
        <f aca="false">IFERROR(INDEX(Website!$B:$B,MATCH($A88,Website!$A:$A,0)),0)</f>
        <v>0</v>
      </c>
      <c r="I88" s="21" t="n">
        <f aca="false">IFERROR(INDEX(Airbnb!$C:$C,MATCH($A88,Airbnb!$A:$A,0)),0)</f>
        <v>0</v>
      </c>
      <c r="J88" s="21" t="n">
        <f aca="false">H88+I88</f>
        <v>0</v>
      </c>
      <c r="K88" s="21" t="n">
        <f aca="false">IFERROR(INDEX(Airbnb!$D:$D,MATCH($A88,Airbnb!$A:$A,0)),0)</f>
        <v>0</v>
      </c>
      <c r="L88" s="21" t="n">
        <f aca="false">IFERROR(INDEX(Airbnb!$E:$E,MATCH($A88,Airbnb!$A:$A,0)),0)</f>
        <v>0</v>
      </c>
      <c r="M88" s="22" t="n">
        <f aca="false">IFERROR(INDEX(Airbnb!$G:$G,MATCH($A88,Airbnb!$A:$A,0)),0)</f>
        <v>0</v>
      </c>
    </row>
    <row r="89" customFormat="false" ht="15" hidden="false" customHeight="true" outlineLevel="0" collapsed="false">
      <c r="A89" s="23" t="n">
        <f aca="false">Facebook!A88</f>
        <v>46255</v>
      </c>
      <c r="B89" s="24" t="n">
        <f aca="false">IFERROR(INDEX(Facebook!$F:$F,MATCH($A89,Facebook!$A:$A,0)),0)</f>
        <v>0</v>
      </c>
      <c r="C89" s="24" t="n">
        <f aca="false">IFERROR(INDEX(Instagram!$F:$F,MATCH($A89,Instagram!$A:$A,0)),0)</f>
        <v>0</v>
      </c>
      <c r="D89" s="24" t="n">
        <f aca="false">B89+C89</f>
        <v>0</v>
      </c>
      <c r="E89" s="24" t="n">
        <f aca="false">IFERROR(INDEX(Facebook!$E:$E,MATCH($A89,Facebook!$A:$A,0)),0)</f>
        <v>0</v>
      </c>
      <c r="F89" s="24" t="n">
        <f aca="false">IFERROR(INDEX(Instagram!$E:$E,MATCH($A89,Instagram!$A:$A,0)),0)</f>
        <v>0</v>
      </c>
      <c r="G89" s="24" t="n">
        <f aca="false">E89+F89</f>
        <v>0</v>
      </c>
      <c r="H89" s="24" t="n">
        <f aca="false">IFERROR(INDEX(Website!$B:$B,MATCH($A89,Website!$A:$A,0)),0)</f>
        <v>0</v>
      </c>
      <c r="I89" s="24" t="n">
        <f aca="false">IFERROR(INDEX(Airbnb!$C:$C,MATCH($A89,Airbnb!$A:$A,0)),0)</f>
        <v>0</v>
      </c>
      <c r="J89" s="24" t="n">
        <f aca="false">H89+I89</f>
        <v>0</v>
      </c>
      <c r="K89" s="24" t="n">
        <f aca="false">IFERROR(INDEX(Airbnb!$D:$D,MATCH($A89,Airbnb!$A:$A,0)),0)</f>
        <v>0</v>
      </c>
      <c r="L89" s="24" t="n">
        <f aca="false">IFERROR(INDEX(Airbnb!$E:$E,MATCH($A89,Airbnb!$A:$A,0)),0)</f>
        <v>0</v>
      </c>
      <c r="M89" s="25" t="n">
        <f aca="false">IFERROR(INDEX(Airbnb!$G:$G,MATCH($A89,Airbnb!$A:$A,0)),0)</f>
        <v>0</v>
      </c>
    </row>
    <row r="90" customFormat="false" ht="15" hidden="false" customHeight="true" outlineLevel="0" collapsed="false">
      <c r="A90" s="20" t="n">
        <f aca="false">Facebook!A89</f>
        <v>46262</v>
      </c>
      <c r="B90" s="21" t="n">
        <f aca="false">IFERROR(INDEX(Facebook!$F:$F,MATCH($A90,Facebook!$A:$A,0)),0)</f>
        <v>0</v>
      </c>
      <c r="C90" s="21" t="n">
        <f aca="false">IFERROR(INDEX(Instagram!$F:$F,MATCH($A90,Instagram!$A:$A,0)),0)</f>
        <v>0</v>
      </c>
      <c r="D90" s="21" t="n">
        <f aca="false">B90+C90</f>
        <v>0</v>
      </c>
      <c r="E90" s="21" t="n">
        <f aca="false">IFERROR(INDEX(Facebook!$E:$E,MATCH($A90,Facebook!$A:$A,0)),0)</f>
        <v>0</v>
      </c>
      <c r="F90" s="21" t="n">
        <f aca="false">IFERROR(INDEX(Instagram!$E:$E,MATCH($A90,Instagram!$A:$A,0)),0)</f>
        <v>0</v>
      </c>
      <c r="G90" s="21" t="n">
        <f aca="false">E90+F90</f>
        <v>0</v>
      </c>
      <c r="H90" s="21" t="n">
        <f aca="false">IFERROR(INDEX(Website!$B:$B,MATCH($A90,Website!$A:$A,0)),0)</f>
        <v>0</v>
      </c>
      <c r="I90" s="21" t="n">
        <f aca="false">IFERROR(INDEX(Airbnb!$C:$C,MATCH($A90,Airbnb!$A:$A,0)),0)</f>
        <v>0</v>
      </c>
      <c r="J90" s="21" t="n">
        <f aca="false">H90+I90</f>
        <v>0</v>
      </c>
      <c r="K90" s="21" t="n">
        <f aca="false">IFERROR(INDEX(Airbnb!$D:$D,MATCH($A90,Airbnb!$A:$A,0)),0)</f>
        <v>0</v>
      </c>
      <c r="L90" s="21" t="n">
        <f aca="false">IFERROR(INDEX(Airbnb!$E:$E,MATCH($A90,Airbnb!$A:$A,0)),0)</f>
        <v>0</v>
      </c>
      <c r="M90" s="22" t="n">
        <f aca="false">IFERROR(INDEX(Airbnb!$G:$G,MATCH($A90,Airbnb!$A:$A,0)),0)</f>
        <v>0</v>
      </c>
    </row>
    <row r="91" customFormat="false" ht="15" hidden="false" customHeight="true" outlineLevel="0" collapsed="false">
      <c r="A91" s="23" t="n">
        <f aca="false">Facebook!A90</f>
        <v>46269</v>
      </c>
      <c r="B91" s="24" t="n">
        <f aca="false">IFERROR(INDEX(Facebook!$F:$F,MATCH($A91,Facebook!$A:$A,0)),0)</f>
        <v>0</v>
      </c>
      <c r="C91" s="24" t="n">
        <f aca="false">IFERROR(INDEX(Instagram!$F:$F,MATCH($A91,Instagram!$A:$A,0)),0)</f>
        <v>0</v>
      </c>
      <c r="D91" s="24" t="n">
        <f aca="false">B91+C91</f>
        <v>0</v>
      </c>
      <c r="E91" s="24" t="n">
        <f aca="false">IFERROR(INDEX(Facebook!$E:$E,MATCH($A91,Facebook!$A:$A,0)),0)</f>
        <v>0</v>
      </c>
      <c r="F91" s="24" t="n">
        <f aca="false">IFERROR(INDEX(Instagram!$E:$E,MATCH($A91,Instagram!$A:$A,0)),0)</f>
        <v>0</v>
      </c>
      <c r="G91" s="24" t="n">
        <f aca="false">E91+F91</f>
        <v>0</v>
      </c>
      <c r="H91" s="24" t="n">
        <f aca="false">IFERROR(INDEX(Website!$B:$B,MATCH($A91,Website!$A:$A,0)),0)</f>
        <v>0</v>
      </c>
      <c r="I91" s="24" t="n">
        <f aca="false">IFERROR(INDEX(Airbnb!$C:$C,MATCH($A91,Airbnb!$A:$A,0)),0)</f>
        <v>0</v>
      </c>
      <c r="J91" s="24" t="n">
        <f aca="false">H91+I91</f>
        <v>0</v>
      </c>
      <c r="K91" s="24" t="n">
        <f aca="false">IFERROR(INDEX(Airbnb!$D:$D,MATCH($A91,Airbnb!$A:$A,0)),0)</f>
        <v>0</v>
      </c>
      <c r="L91" s="24" t="n">
        <f aca="false">IFERROR(INDEX(Airbnb!$E:$E,MATCH($A91,Airbnb!$A:$A,0)),0)</f>
        <v>0</v>
      </c>
      <c r="M91" s="25" t="n">
        <f aca="false">IFERROR(INDEX(Airbnb!$G:$G,MATCH($A91,Airbnb!$A:$A,0)),0)</f>
        <v>0</v>
      </c>
    </row>
    <row r="92" customFormat="false" ht="15" hidden="false" customHeight="true" outlineLevel="0" collapsed="false">
      <c r="A92" s="20" t="n">
        <f aca="false">Facebook!A91</f>
        <v>46276</v>
      </c>
      <c r="B92" s="21" t="n">
        <f aca="false">IFERROR(INDEX(Facebook!$F:$F,MATCH($A92,Facebook!$A:$A,0)),0)</f>
        <v>0</v>
      </c>
      <c r="C92" s="21" t="n">
        <f aca="false">IFERROR(INDEX(Instagram!$F:$F,MATCH($A92,Instagram!$A:$A,0)),0)</f>
        <v>0</v>
      </c>
      <c r="D92" s="21" t="n">
        <f aca="false">B92+C92</f>
        <v>0</v>
      </c>
      <c r="E92" s="21" t="n">
        <f aca="false">IFERROR(INDEX(Facebook!$E:$E,MATCH($A92,Facebook!$A:$A,0)),0)</f>
        <v>0</v>
      </c>
      <c r="F92" s="21" t="n">
        <f aca="false">IFERROR(INDEX(Instagram!$E:$E,MATCH($A92,Instagram!$A:$A,0)),0)</f>
        <v>0</v>
      </c>
      <c r="G92" s="21" t="n">
        <f aca="false">E92+F92</f>
        <v>0</v>
      </c>
      <c r="H92" s="21" t="n">
        <f aca="false">IFERROR(INDEX(Website!$B:$B,MATCH($A92,Website!$A:$A,0)),0)</f>
        <v>0</v>
      </c>
      <c r="I92" s="21" t="n">
        <f aca="false">IFERROR(INDEX(Airbnb!$C:$C,MATCH($A92,Airbnb!$A:$A,0)),0)</f>
        <v>0</v>
      </c>
      <c r="J92" s="21" t="n">
        <f aca="false">H92+I92</f>
        <v>0</v>
      </c>
      <c r="K92" s="21" t="n">
        <f aca="false">IFERROR(INDEX(Airbnb!$D:$D,MATCH($A92,Airbnb!$A:$A,0)),0)</f>
        <v>0</v>
      </c>
      <c r="L92" s="21" t="n">
        <f aca="false">IFERROR(INDEX(Airbnb!$E:$E,MATCH($A92,Airbnb!$A:$A,0)),0)</f>
        <v>0</v>
      </c>
      <c r="M92" s="22" t="n">
        <f aca="false">IFERROR(INDEX(Airbnb!$G:$G,MATCH($A92,Airbnb!$A:$A,0)),0)</f>
        <v>0</v>
      </c>
    </row>
    <row r="93" customFormat="false" ht="15" hidden="false" customHeight="true" outlineLevel="0" collapsed="false">
      <c r="A93" s="23" t="n">
        <f aca="false">Facebook!A92</f>
        <v>46283</v>
      </c>
      <c r="B93" s="24" t="n">
        <f aca="false">IFERROR(INDEX(Facebook!$F:$F,MATCH($A93,Facebook!$A:$A,0)),0)</f>
        <v>0</v>
      </c>
      <c r="C93" s="24" t="n">
        <f aca="false">IFERROR(INDEX(Instagram!$F:$F,MATCH($A93,Instagram!$A:$A,0)),0)</f>
        <v>0</v>
      </c>
      <c r="D93" s="24" t="n">
        <f aca="false">B93+C93</f>
        <v>0</v>
      </c>
      <c r="E93" s="24" t="n">
        <f aca="false">IFERROR(INDEX(Facebook!$E:$E,MATCH($A93,Facebook!$A:$A,0)),0)</f>
        <v>0</v>
      </c>
      <c r="F93" s="24" t="n">
        <f aca="false">IFERROR(INDEX(Instagram!$E:$E,MATCH($A93,Instagram!$A:$A,0)),0)</f>
        <v>0</v>
      </c>
      <c r="G93" s="24" t="n">
        <f aca="false">E93+F93</f>
        <v>0</v>
      </c>
      <c r="H93" s="24" t="n">
        <f aca="false">IFERROR(INDEX(Website!$B:$B,MATCH($A93,Website!$A:$A,0)),0)</f>
        <v>0</v>
      </c>
      <c r="I93" s="24" t="n">
        <f aca="false">IFERROR(INDEX(Airbnb!$C:$C,MATCH($A93,Airbnb!$A:$A,0)),0)</f>
        <v>0</v>
      </c>
      <c r="J93" s="24" t="n">
        <f aca="false">H93+I93</f>
        <v>0</v>
      </c>
      <c r="K93" s="24" t="n">
        <f aca="false">IFERROR(INDEX(Airbnb!$D:$D,MATCH($A93,Airbnb!$A:$A,0)),0)</f>
        <v>0</v>
      </c>
      <c r="L93" s="24" t="n">
        <f aca="false">IFERROR(INDEX(Airbnb!$E:$E,MATCH($A93,Airbnb!$A:$A,0)),0)</f>
        <v>0</v>
      </c>
      <c r="M93" s="25" t="n">
        <f aca="false">IFERROR(INDEX(Airbnb!$G:$G,MATCH($A93,Airbnb!$A:$A,0)),0)</f>
        <v>0</v>
      </c>
    </row>
    <row r="94" customFormat="false" ht="15" hidden="false" customHeight="true" outlineLevel="0" collapsed="false">
      <c r="A94" s="20" t="n">
        <f aca="false">Facebook!A93</f>
        <v>46290</v>
      </c>
      <c r="B94" s="21" t="n">
        <f aca="false">IFERROR(INDEX(Facebook!$F:$F,MATCH($A94,Facebook!$A:$A,0)),0)</f>
        <v>0</v>
      </c>
      <c r="C94" s="21" t="n">
        <f aca="false">IFERROR(INDEX(Instagram!$F:$F,MATCH($A94,Instagram!$A:$A,0)),0)</f>
        <v>0</v>
      </c>
      <c r="D94" s="21" t="n">
        <f aca="false">B94+C94</f>
        <v>0</v>
      </c>
      <c r="E94" s="21" t="n">
        <f aca="false">IFERROR(INDEX(Facebook!$E:$E,MATCH($A94,Facebook!$A:$A,0)),0)</f>
        <v>0</v>
      </c>
      <c r="F94" s="21" t="n">
        <f aca="false">IFERROR(INDEX(Instagram!$E:$E,MATCH($A94,Instagram!$A:$A,0)),0)</f>
        <v>0</v>
      </c>
      <c r="G94" s="21" t="n">
        <f aca="false">E94+F94</f>
        <v>0</v>
      </c>
      <c r="H94" s="21" t="n">
        <f aca="false">IFERROR(INDEX(Website!$B:$B,MATCH($A94,Website!$A:$A,0)),0)</f>
        <v>0</v>
      </c>
      <c r="I94" s="21" t="n">
        <f aca="false">IFERROR(INDEX(Airbnb!$C:$C,MATCH($A94,Airbnb!$A:$A,0)),0)</f>
        <v>0</v>
      </c>
      <c r="J94" s="21" t="n">
        <f aca="false">H94+I94</f>
        <v>0</v>
      </c>
      <c r="K94" s="21" t="n">
        <f aca="false">IFERROR(INDEX(Airbnb!$D:$D,MATCH($A94,Airbnb!$A:$A,0)),0)</f>
        <v>0</v>
      </c>
      <c r="L94" s="21" t="n">
        <f aca="false">IFERROR(INDEX(Airbnb!$E:$E,MATCH($A94,Airbnb!$A:$A,0)),0)</f>
        <v>0</v>
      </c>
      <c r="M94" s="22" t="n">
        <f aca="false">IFERROR(INDEX(Airbnb!$G:$G,MATCH($A94,Airbnb!$A:$A,0)),0)</f>
        <v>0</v>
      </c>
    </row>
    <row r="95" customFormat="false" ht="15" hidden="false" customHeight="true" outlineLevel="0" collapsed="false">
      <c r="A95" s="23" t="n">
        <f aca="false">Facebook!A94</f>
        <v>46297</v>
      </c>
      <c r="B95" s="24" t="n">
        <f aca="false">IFERROR(INDEX(Facebook!$F:$F,MATCH($A95,Facebook!$A:$A,0)),0)</f>
        <v>0</v>
      </c>
      <c r="C95" s="24" t="n">
        <f aca="false">IFERROR(INDEX(Instagram!$F:$F,MATCH($A95,Instagram!$A:$A,0)),0)</f>
        <v>0</v>
      </c>
      <c r="D95" s="24" t="n">
        <f aca="false">B95+C95</f>
        <v>0</v>
      </c>
      <c r="E95" s="24" t="n">
        <f aca="false">IFERROR(INDEX(Facebook!$E:$E,MATCH($A95,Facebook!$A:$A,0)),0)</f>
        <v>0</v>
      </c>
      <c r="F95" s="24" t="n">
        <f aca="false">IFERROR(INDEX(Instagram!$E:$E,MATCH($A95,Instagram!$A:$A,0)),0)</f>
        <v>0</v>
      </c>
      <c r="G95" s="24" t="n">
        <f aca="false">E95+F95</f>
        <v>0</v>
      </c>
      <c r="H95" s="24" t="n">
        <f aca="false">IFERROR(INDEX(Website!$B:$B,MATCH($A95,Website!$A:$A,0)),0)</f>
        <v>0</v>
      </c>
      <c r="I95" s="24" t="n">
        <f aca="false">IFERROR(INDEX(Airbnb!$C:$C,MATCH($A95,Airbnb!$A:$A,0)),0)</f>
        <v>0</v>
      </c>
      <c r="J95" s="24" t="n">
        <f aca="false">H95+I95</f>
        <v>0</v>
      </c>
      <c r="K95" s="24" t="n">
        <f aca="false">IFERROR(INDEX(Airbnb!$D:$D,MATCH($A95,Airbnb!$A:$A,0)),0)</f>
        <v>0</v>
      </c>
      <c r="L95" s="24" t="n">
        <f aca="false">IFERROR(INDEX(Airbnb!$E:$E,MATCH($A95,Airbnb!$A:$A,0)),0)</f>
        <v>0</v>
      </c>
      <c r="M95" s="25" t="n">
        <f aca="false">IFERROR(INDEX(Airbnb!$G:$G,MATCH($A95,Airbnb!$A:$A,0)),0)</f>
        <v>0</v>
      </c>
    </row>
    <row r="96" customFormat="false" ht="15" hidden="false" customHeight="true" outlineLevel="0" collapsed="false">
      <c r="A96" s="20" t="n">
        <f aca="false">Facebook!A95</f>
        <v>46304</v>
      </c>
      <c r="B96" s="21" t="n">
        <f aca="false">IFERROR(INDEX(Facebook!$F:$F,MATCH($A96,Facebook!$A:$A,0)),0)</f>
        <v>0</v>
      </c>
      <c r="C96" s="21" t="n">
        <f aca="false">IFERROR(INDEX(Instagram!$F:$F,MATCH($A96,Instagram!$A:$A,0)),0)</f>
        <v>0</v>
      </c>
      <c r="D96" s="21" t="n">
        <f aca="false">B96+C96</f>
        <v>0</v>
      </c>
      <c r="E96" s="21" t="n">
        <f aca="false">IFERROR(INDEX(Facebook!$E:$E,MATCH($A96,Facebook!$A:$A,0)),0)</f>
        <v>0</v>
      </c>
      <c r="F96" s="21" t="n">
        <f aca="false">IFERROR(INDEX(Instagram!$E:$E,MATCH($A96,Instagram!$A:$A,0)),0)</f>
        <v>0</v>
      </c>
      <c r="G96" s="21" t="n">
        <f aca="false">E96+F96</f>
        <v>0</v>
      </c>
      <c r="H96" s="21" t="n">
        <f aca="false">IFERROR(INDEX(Website!$B:$B,MATCH($A96,Website!$A:$A,0)),0)</f>
        <v>0</v>
      </c>
      <c r="I96" s="21" t="n">
        <f aca="false">IFERROR(INDEX(Airbnb!$C:$C,MATCH($A96,Airbnb!$A:$A,0)),0)</f>
        <v>0</v>
      </c>
      <c r="J96" s="21" t="n">
        <f aca="false">H96+I96</f>
        <v>0</v>
      </c>
      <c r="K96" s="21" t="n">
        <f aca="false">IFERROR(INDEX(Airbnb!$D:$D,MATCH($A96,Airbnb!$A:$A,0)),0)</f>
        <v>0</v>
      </c>
      <c r="L96" s="21" t="n">
        <f aca="false">IFERROR(INDEX(Airbnb!$E:$E,MATCH($A96,Airbnb!$A:$A,0)),0)</f>
        <v>0</v>
      </c>
      <c r="M96" s="22" t="n">
        <f aca="false">IFERROR(INDEX(Airbnb!$G:$G,MATCH($A96,Airbnb!$A:$A,0)),0)</f>
        <v>0</v>
      </c>
    </row>
    <row r="97" customFormat="false" ht="15" hidden="false" customHeight="true" outlineLevel="0" collapsed="false">
      <c r="A97" s="23" t="n">
        <f aca="false">Facebook!A96</f>
        <v>46311</v>
      </c>
      <c r="B97" s="24" t="n">
        <f aca="false">IFERROR(INDEX(Facebook!$F:$F,MATCH($A97,Facebook!$A:$A,0)),0)</f>
        <v>0</v>
      </c>
      <c r="C97" s="24" t="n">
        <f aca="false">IFERROR(INDEX(Instagram!$F:$F,MATCH($A97,Instagram!$A:$A,0)),0)</f>
        <v>0</v>
      </c>
      <c r="D97" s="24" t="n">
        <f aca="false">B97+C97</f>
        <v>0</v>
      </c>
      <c r="E97" s="24" t="n">
        <f aca="false">IFERROR(INDEX(Facebook!$E:$E,MATCH($A97,Facebook!$A:$A,0)),0)</f>
        <v>0</v>
      </c>
      <c r="F97" s="24" t="n">
        <f aca="false">IFERROR(INDEX(Instagram!$E:$E,MATCH($A97,Instagram!$A:$A,0)),0)</f>
        <v>0</v>
      </c>
      <c r="G97" s="24" t="n">
        <f aca="false">E97+F97</f>
        <v>0</v>
      </c>
      <c r="H97" s="24" t="n">
        <f aca="false">IFERROR(INDEX(Website!$B:$B,MATCH($A97,Website!$A:$A,0)),0)</f>
        <v>0</v>
      </c>
      <c r="I97" s="24" t="n">
        <f aca="false">IFERROR(INDEX(Airbnb!$C:$C,MATCH($A97,Airbnb!$A:$A,0)),0)</f>
        <v>0</v>
      </c>
      <c r="J97" s="24" t="n">
        <f aca="false">H97+I97</f>
        <v>0</v>
      </c>
      <c r="K97" s="24" t="n">
        <f aca="false">IFERROR(INDEX(Airbnb!$D:$D,MATCH($A97,Airbnb!$A:$A,0)),0)</f>
        <v>0</v>
      </c>
      <c r="L97" s="24" t="n">
        <f aca="false">IFERROR(INDEX(Airbnb!$E:$E,MATCH($A97,Airbnb!$A:$A,0)),0)</f>
        <v>0</v>
      </c>
      <c r="M97" s="25" t="n">
        <f aca="false">IFERROR(INDEX(Airbnb!$G:$G,MATCH($A97,Airbnb!$A:$A,0)),0)</f>
        <v>0</v>
      </c>
    </row>
    <row r="98" customFormat="false" ht="15" hidden="false" customHeight="true" outlineLevel="0" collapsed="false">
      <c r="A98" s="20" t="n">
        <f aca="false">Facebook!A97</f>
        <v>46318</v>
      </c>
      <c r="B98" s="21" t="n">
        <f aca="false">IFERROR(INDEX(Facebook!$F:$F,MATCH($A98,Facebook!$A:$A,0)),0)</f>
        <v>0</v>
      </c>
      <c r="C98" s="21" t="n">
        <f aca="false">IFERROR(INDEX(Instagram!$F:$F,MATCH($A98,Instagram!$A:$A,0)),0)</f>
        <v>0</v>
      </c>
      <c r="D98" s="21" t="n">
        <f aca="false">B98+C98</f>
        <v>0</v>
      </c>
      <c r="E98" s="21" t="n">
        <f aca="false">IFERROR(INDEX(Facebook!$E:$E,MATCH($A98,Facebook!$A:$A,0)),0)</f>
        <v>0</v>
      </c>
      <c r="F98" s="21" t="n">
        <f aca="false">IFERROR(INDEX(Instagram!$E:$E,MATCH($A98,Instagram!$A:$A,0)),0)</f>
        <v>0</v>
      </c>
      <c r="G98" s="21" t="n">
        <f aca="false">E98+F98</f>
        <v>0</v>
      </c>
      <c r="H98" s="21" t="n">
        <f aca="false">IFERROR(INDEX(Website!$B:$B,MATCH($A98,Website!$A:$A,0)),0)</f>
        <v>0</v>
      </c>
      <c r="I98" s="21" t="n">
        <f aca="false">IFERROR(INDEX(Airbnb!$C:$C,MATCH($A98,Airbnb!$A:$A,0)),0)</f>
        <v>0</v>
      </c>
      <c r="J98" s="21" t="n">
        <f aca="false">H98+I98</f>
        <v>0</v>
      </c>
      <c r="K98" s="21" t="n">
        <f aca="false">IFERROR(INDEX(Airbnb!$D:$D,MATCH($A98,Airbnb!$A:$A,0)),0)</f>
        <v>0</v>
      </c>
      <c r="L98" s="21" t="n">
        <f aca="false">IFERROR(INDEX(Airbnb!$E:$E,MATCH($A98,Airbnb!$A:$A,0)),0)</f>
        <v>0</v>
      </c>
      <c r="M98" s="22" t="n">
        <f aca="false">IFERROR(INDEX(Airbnb!$G:$G,MATCH($A98,Airbnb!$A:$A,0)),0)</f>
        <v>0</v>
      </c>
    </row>
    <row r="99" customFormat="false" ht="15" hidden="false" customHeight="true" outlineLevel="0" collapsed="false">
      <c r="A99" s="23" t="n">
        <f aca="false">Facebook!A98</f>
        <v>46325</v>
      </c>
      <c r="B99" s="24" t="n">
        <f aca="false">IFERROR(INDEX(Facebook!$F:$F,MATCH($A99,Facebook!$A:$A,0)),0)</f>
        <v>0</v>
      </c>
      <c r="C99" s="24" t="n">
        <f aca="false">IFERROR(INDEX(Instagram!$F:$F,MATCH($A99,Instagram!$A:$A,0)),0)</f>
        <v>0</v>
      </c>
      <c r="D99" s="24" t="n">
        <f aca="false">B99+C99</f>
        <v>0</v>
      </c>
      <c r="E99" s="24" t="n">
        <f aca="false">IFERROR(INDEX(Facebook!$E:$E,MATCH($A99,Facebook!$A:$A,0)),0)</f>
        <v>0</v>
      </c>
      <c r="F99" s="24" t="n">
        <f aca="false">IFERROR(INDEX(Instagram!$E:$E,MATCH($A99,Instagram!$A:$A,0)),0)</f>
        <v>0</v>
      </c>
      <c r="G99" s="24" t="n">
        <f aca="false">E99+F99</f>
        <v>0</v>
      </c>
      <c r="H99" s="24" t="n">
        <f aca="false">IFERROR(INDEX(Website!$B:$B,MATCH($A99,Website!$A:$A,0)),0)</f>
        <v>0</v>
      </c>
      <c r="I99" s="24" t="n">
        <f aca="false">IFERROR(INDEX(Airbnb!$C:$C,MATCH($A99,Airbnb!$A:$A,0)),0)</f>
        <v>0</v>
      </c>
      <c r="J99" s="24" t="n">
        <f aca="false">H99+I99</f>
        <v>0</v>
      </c>
      <c r="K99" s="24" t="n">
        <f aca="false">IFERROR(INDEX(Airbnb!$D:$D,MATCH($A99,Airbnb!$A:$A,0)),0)</f>
        <v>0</v>
      </c>
      <c r="L99" s="24" t="n">
        <f aca="false">IFERROR(INDEX(Airbnb!$E:$E,MATCH($A99,Airbnb!$A:$A,0)),0)</f>
        <v>0</v>
      </c>
      <c r="M99" s="25" t="n">
        <f aca="false">IFERROR(INDEX(Airbnb!$G:$G,MATCH($A99,Airbnb!$A:$A,0)),0)</f>
        <v>0</v>
      </c>
    </row>
    <row r="100" customFormat="false" ht="15" hidden="false" customHeight="true" outlineLevel="0" collapsed="false">
      <c r="A100" s="20" t="n">
        <f aca="false">Facebook!A99</f>
        <v>46332</v>
      </c>
      <c r="B100" s="21" t="n">
        <f aca="false">IFERROR(INDEX(Facebook!$F:$F,MATCH($A100,Facebook!$A:$A,0)),0)</f>
        <v>0</v>
      </c>
      <c r="C100" s="21" t="n">
        <f aca="false">IFERROR(INDEX(Instagram!$F:$F,MATCH($A100,Instagram!$A:$A,0)),0)</f>
        <v>0</v>
      </c>
      <c r="D100" s="21" t="n">
        <f aca="false">B100+C100</f>
        <v>0</v>
      </c>
      <c r="E100" s="21" t="n">
        <f aca="false">IFERROR(INDEX(Facebook!$E:$E,MATCH($A100,Facebook!$A:$A,0)),0)</f>
        <v>0</v>
      </c>
      <c r="F100" s="21" t="n">
        <f aca="false">IFERROR(INDEX(Instagram!$E:$E,MATCH($A100,Instagram!$A:$A,0)),0)</f>
        <v>0</v>
      </c>
      <c r="G100" s="21" t="n">
        <f aca="false">E100+F100</f>
        <v>0</v>
      </c>
      <c r="H100" s="21" t="n">
        <f aca="false">IFERROR(INDEX(Website!$B:$B,MATCH($A100,Website!$A:$A,0)),0)</f>
        <v>0</v>
      </c>
      <c r="I100" s="21" t="n">
        <f aca="false">IFERROR(INDEX(Airbnb!$C:$C,MATCH($A100,Airbnb!$A:$A,0)),0)</f>
        <v>0</v>
      </c>
      <c r="J100" s="21" t="n">
        <f aca="false">H100+I100</f>
        <v>0</v>
      </c>
      <c r="K100" s="21" t="n">
        <f aca="false">IFERROR(INDEX(Airbnb!$D:$D,MATCH($A100,Airbnb!$A:$A,0)),0)</f>
        <v>0</v>
      </c>
      <c r="L100" s="21" t="n">
        <f aca="false">IFERROR(INDEX(Airbnb!$E:$E,MATCH($A100,Airbnb!$A:$A,0)),0)</f>
        <v>0</v>
      </c>
      <c r="M100" s="22" t="n">
        <f aca="false">IFERROR(INDEX(Airbnb!$G:$G,MATCH($A100,Airbnb!$A:$A,0)),0)</f>
        <v>0</v>
      </c>
    </row>
    <row r="101" customFormat="false" ht="15" hidden="false" customHeight="true" outlineLevel="0" collapsed="false">
      <c r="A101" s="23" t="n">
        <f aca="false">Facebook!A100</f>
        <v>46339</v>
      </c>
      <c r="B101" s="24" t="n">
        <f aca="false">IFERROR(INDEX(Facebook!$F:$F,MATCH($A101,Facebook!$A:$A,0)),0)</f>
        <v>0</v>
      </c>
      <c r="C101" s="24" t="n">
        <f aca="false">IFERROR(INDEX(Instagram!$F:$F,MATCH($A101,Instagram!$A:$A,0)),0)</f>
        <v>0</v>
      </c>
      <c r="D101" s="24" t="n">
        <f aca="false">B101+C101</f>
        <v>0</v>
      </c>
      <c r="E101" s="24" t="n">
        <f aca="false">IFERROR(INDEX(Facebook!$E:$E,MATCH($A101,Facebook!$A:$A,0)),0)</f>
        <v>0</v>
      </c>
      <c r="F101" s="24" t="n">
        <f aca="false">IFERROR(INDEX(Instagram!$E:$E,MATCH($A101,Instagram!$A:$A,0)),0)</f>
        <v>0</v>
      </c>
      <c r="G101" s="24" t="n">
        <f aca="false">E101+F101</f>
        <v>0</v>
      </c>
      <c r="H101" s="24" t="n">
        <f aca="false">IFERROR(INDEX(Website!$B:$B,MATCH($A101,Website!$A:$A,0)),0)</f>
        <v>0</v>
      </c>
      <c r="I101" s="24" t="n">
        <f aca="false">IFERROR(INDEX(Airbnb!$C:$C,MATCH($A101,Airbnb!$A:$A,0)),0)</f>
        <v>0</v>
      </c>
      <c r="J101" s="24" t="n">
        <f aca="false">H101+I101</f>
        <v>0</v>
      </c>
      <c r="K101" s="24" t="n">
        <f aca="false">IFERROR(INDEX(Airbnb!$D:$D,MATCH($A101,Airbnb!$A:$A,0)),0)</f>
        <v>0</v>
      </c>
      <c r="L101" s="24" t="n">
        <f aca="false">IFERROR(INDEX(Airbnb!$E:$E,MATCH($A101,Airbnb!$A:$A,0)),0)</f>
        <v>0</v>
      </c>
      <c r="M101" s="25" t="n">
        <f aca="false">IFERROR(INDEX(Airbnb!$G:$G,MATCH($A101,Airbnb!$A:$A,0)),0)</f>
        <v>0</v>
      </c>
    </row>
    <row r="102" customFormat="false" ht="15" hidden="false" customHeight="true" outlineLevel="0" collapsed="false">
      <c r="A102" s="20" t="n">
        <f aca="false">Facebook!A101</f>
        <v>46346</v>
      </c>
      <c r="B102" s="21" t="n">
        <f aca="false">IFERROR(INDEX(Facebook!$F:$F,MATCH($A102,Facebook!$A:$A,0)),0)</f>
        <v>0</v>
      </c>
      <c r="C102" s="21" t="n">
        <f aca="false">IFERROR(INDEX(Instagram!$F:$F,MATCH($A102,Instagram!$A:$A,0)),0)</f>
        <v>0</v>
      </c>
      <c r="D102" s="21" t="n">
        <f aca="false">B102+C102</f>
        <v>0</v>
      </c>
      <c r="E102" s="21" t="n">
        <f aca="false">IFERROR(INDEX(Facebook!$E:$E,MATCH($A102,Facebook!$A:$A,0)),0)</f>
        <v>0</v>
      </c>
      <c r="F102" s="21" t="n">
        <f aca="false">IFERROR(INDEX(Instagram!$E:$E,MATCH($A102,Instagram!$A:$A,0)),0)</f>
        <v>0</v>
      </c>
      <c r="G102" s="21" t="n">
        <f aca="false">E102+F102</f>
        <v>0</v>
      </c>
      <c r="H102" s="21" t="n">
        <f aca="false">IFERROR(INDEX(Website!$B:$B,MATCH($A102,Website!$A:$A,0)),0)</f>
        <v>0</v>
      </c>
      <c r="I102" s="21" t="n">
        <f aca="false">IFERROR(INDEX(Airbnb!$C:$C,MATCH($A102,Airbnb!$A:$A,0)),0)</f>
        <v>0</v>
      </c>
      <c r="J102" s="21" t="n">
        <f aca="false">H102+I102</f>
        <v>0</v>
      </c>
      <c r="K102" s="21" t="n">
        <f aca="false">IFERROR(INDEX(Airbnb!$D:$D,MATCH($A102,Airbnb!$A:$A,0)),0)</f>
        <v>0</v>
      </c>
      <c r="L102" s="21" t="n">
        <f aca="false">IFERROR(INDEX(Airbnb!$E:$E,MATCH($A102,Airbnb!$A:$A,0)),0)</f>
        <v>0</v>
      </c>
      <c r="M102" s="22" t="n">
        <f aca="false">IFERROR(INDEX(Airbnb!$G:$G,MATCH($A102,Airbnb!$A:$A,0)),0)</f>
        <v>0</v>
      </c>
    </row>
    <row r="103" customFormat="false" ht="15" hidden="false" customHeight="true" outlineLevel="0" collapsed="false">
      <c r="A103" s="23" t="n">
        <f aca="false">Facebook!A102</f>
        <v>46353</v>
      </c>
      <c r="B103" s="24" t="n">
        <f aca="false">IFERROR(INDEX(Facebook!$F:$F,MATCH($A103,Facebook!$A:$A,0)),0)</f>
        <v>0</v>
      </c>
      <c r="C103" s="24" t="n">
        <f aca="false">IFERROR(INDEX(Instagram!$F:$F,MATCH($A103,Instagram!$A:$A,0)),0)</f>
        <v>0</v>
      </c>
      <c r="D103" s="24" t="n">
        <f aca="false">B103+C103</f>
        <v>0</v>
      </c>
      <c r="E103" s="24" t="n">
        <f aca="false">IFERROR(INDEX(Facebook!$E:$E,MATCH($A103,Facebook!$A:$A,0)),0)</f>
        <v>0</v>
      </c>
      <c r="F103" s="24" t="n">
        <f aca="false">IFERROR(INDEX(Instagram!$E:$E,MATCH($A103,Instagram!$A:$A,0)),0)</f>
        <v>0</v>
      </c>
      <c r="G103" s="24" t="n">
        <f aca="false">E103+F103</f>
        <v>0</v>
      </c>
      <c r="H103" s="24" t="n">
        <f aca="false">IFERROR(INDEX(Website!$B:$B,MATCH($A103,Website!$A:$A,0)),0)</f>
        <v>0</v>
      </c>
      <c r="I103" s="24" t="n">
        <f aca="false">IFERROR(INDEX(Airbnb!$C:$C,MATCH($A103,Airbnb!$A:$A,0)),0)</f>
        <v>0</v>
      </c>
      <c r="J103" s="24" t="n">
        <f aca="false">H103+I103</f>
        <v>0</v>
      </c>
      <c r="K103" s="24" t="n">
        <f aca="false">IFERROR(INDEX(Airbnb!$D:$D,MATCH($A103,Airbnb!$A:$A,0)),0)</f>
        <v>0</v>
      </c>
      <c r="L103" s="24" t="n">
        <f aca="false">IFERROR(INDEX(Airbnb!$E:$E,MATCH($A103,Airbnb!$A:$A,0)),0)</f>
        <v>0</v>
      </c>
      <c r="M103" s="25" t="n">
        <f aca="false">IFERROR(INDEX(Airbnb!$G:$G,MATCH($A103,Airbnb!$A:$A,0)),0)</f>
        <v>0</v>
      </c>
    </row>
    <row r="104" customFormat="false" ht="15" hidden="false" customHeight="true" outlineLevel="0" collapsed="false">
      <c r="A104" s="20" t="n">
        <f aca="false">Facebook!A103</f>
        <v>46360</v>
      </c>
      <c r="B104" s="21" t="n">
        <f aca="false">IFERROR(INDEX(Facebook!$F:$F,MATCH($A104,Facebook!$A:$A,0)),0)</f>
        <v>0</v>
      </c>
      <c r="C104" s="21" t="n">
        <f aca="false">IFERROR(INDEX(Instagram!$F:$F,MATCH($A104,Instagram!$A:$A,0)),0)</f>
        <v>0</v>
      </c>
      <c r="D104" s="21" t="n">
        <f aca="false">B104+C104</f>
        <v>0</v>
      </c>
      <c r="E104" s="21" t="n">
        <f aca="false">IFERROR(INDEX(Facebook!$E:$E,MATCH($A104,Facebook!$A:$A,0)),0)</f>
        <v>0</v>
      </c>
      <c r="F104" s="21" t="n">
        <f aca="false">IFERROR(INDEX(Instagram!$E:$E,MATCH($A104,Instagram!$A:$A,0)),0)</f>
        <v>0</v>
      </c>
      <c r="G104" s="21" t="n">
        <f aca="false">E104+F104</f>
        <v>0</v>
      </c>
      <c r="H104" s="21" t="n">
        <f aca="false">IFERROR(INDEX(Website!$B:$B,MATCH($A104,Website!$A:$A,0)),0)</f>
        <v>0</v>
      </c>
      <c r="I104" s="21" t="n">
        <f aca="false">IFERROR(INDEX(Airbnb!$C:$C,MATCH($A104,Airbnb!$A:$A,0)),0)</f>
        <v>0</v>
      </c>
      <c r="J104" s="21" t="n">
        <f aca="false">H104+I104</f>
        <v>0</v>
      </c>
      <c r="K104" s="21" t="n">
        <f aca="false">IFERROR(INDEX(Airbnb!$D:$D,MATCH($A104,Airbnb!$A:$A,0)),0)</f>
        <v>0</v>
      </c>
      <c r="L104" s="21" t="n">
        <f aca="false">IFERROR(INDEX(Airbnb!$E:$E,MATCH($A104,Airbnb!$A:$A,0)),0)</f>
        <v>0</v>
      </c>
      <c r="M104" s="22" t="n">
        <f aca="false">IFERROR(INDEX(Airbnb!$G:$G,MATCH($A104,Airbnb!$A:$A,0)),0)</f>
        <v>0</v>
      </c>
    </row>
    <row r="105" customFormat="false" ht="15" hidden="false" customHeight="true" outlineLevel="0" collapsed="false">
      <c r="A105" s="23" t="n">
        <f aca="false">Facebook!A104</f>
        <v>46367</v>
      </c>
      <c r="B105" s="24" t="n">
        <f aca="false">IFERROR(INDEX(Facebook!$F:$F,MATCH($A105,Facebook!$A:$A,0)),0)</f>
        <v>0</v>
      </c>
      <c r="C105" s="24" t="n">
        <f aca="false">IFERROR(INDEX(Instagram!$F:$F,MATCH($A105,Instagram!$A:$A,0)),0)</f>
        <v>0</v>
      </c>
      <c r="D105" s="24" t="n">
        <f aca="false">B105+C105</f>
        <v>0</v>
      </c>
      <c r="E105" s="24" t="n">
        <f aca="false">IFERROR(INDEX(Facebook!$E:$E,MATCH($A105,Facebook!$A:$A,0)),0)</f>
        <v>0</v>
      </c>
      <c r="F105" s="24" t="n">
        <f aca="false">IFERROR(INDEX(Instagram!$E:$E,MATCH($A105,Instagram!$A:$A,0)),0)</f>
        <v>0</v>
      </c>
      <c r="G105" s="24" t="n">
        <f aca="false">E105+F105</f>
        <v>0</v>
      </c>
      <c r="H105" s="24" t="n">
        <f aca="false">IFERROR(INDEX(Website!$B:$B,MATCH($A105,Website!$A:$A,0)),0)</f>
        <v>0</v>
      </c>
      <c r="I105" s="24" t="n">
        <f aca="false">IFERROR(INDEX(Airbnb!$C:$C,MATCH($A105,Airbnb!$A:$A,0)),0)</f>
        <v>0</v>
      </c>
      <c r="J105" s="24" t="n">
        <f aca="false">H105+I105</f>
        <v>0</v>
      </c>
      <c r="K105" s="24" t="n">
        <f aca="false">IFERROR(INDEX(Airbnb!$D:$D,MATCH($A105,Airbnb!$A:$A,0)),0)</f>
        <v>0</v>
      </c>
      <c r="L105" s="24" t="n">
        <f aca="false">IFERROR(INDEX(Airbnb!$E:$E,MATCH($A105,Airbnb!$A:$A,0)),0)</f>
        <v>0</v>
      </c>
      <c r="M105" s="25" t="n">
        <f aca="false">IFERROR(INDEX(Airbnb!$G:$G,MATCH($A105,Airbnb!$A:$A,0)),0)</f>
        <v>0</v>
      </c>
    </row>
    <row r="106" customFormat="false" ht="15" hidden="false" customHeight="true" outlineLevel="0" collapsed="false">
      <c r="A106" s="20" t="n">
        <f aca="false">Facebook!A105</f>
        <v>46374</v>
      </c>
      <c r="B106" s="21" t="n">
        <f aca="false">IFERROR(INDEX(Facebook!$F:$F,MATCH($A106,Facebook!$A:$A,0)),0)</f>
        <v>0</v>
      </c>
      <c r="C106" s="21" t="n">
        <f aca="false">IFERROR(INDEX(Instagram!$F:$F,MATCH($A106,Instagram!$A:$A,0)),0)</f>
        <v>0</v>
      </c>
      <c r="D106" s="21" t="n">
        <f aca="false">B106+C106</f>
        <v>0</v>
      </c>
      <c r="E106" s="21" t="n">
        <f aca="false">IFERROR(INDEX(Facebook!$E:$E,MATCH($A106,Facebook!$A:$A,0)),0)</f>
        <v>0</v>
      </c>
      <c r="F106" s="21" t="n">
        <f aca="false">IFERROR(INDEX(Instagram!$E:$E,MATCH($A106,Instagram!$A:$A,0)),0)</f>
        <v>0</v>
      </c>
      <c r="G106" s="21" t="n">
        <f aca="false">E106+F106</f>
        <v>0</v>
      </c>
      <c r="H106" s="21" t="n">
        <f aca="false">IFERROR(INDEX(Website!$B:$B,MATCH($A106,Website!$A:$A,0)),0)</f>
        <v>0</v>
      </c>
      <c r="I106" s="21" t="n">
        <f aca="false">IFERROR(INDEX(Airbnb!$C:$C,MATCH($A106,Airbnb!$A:$A,0)),0)</f>
        <v>0</v>
      </c>
      <c r="J106" s="21" t="n">
        <f aca="false">H106+I106</f>
        <v>0</v>
      </c>
      <c r="K106" s="21" t="n">
        <f aca="false">IFERROR(INDEX(Airbnb!$D:$D,MATCH($A106,Airbnb!$A:$A,0)),0)</f>
        <v>0</v>
      </c>
      <c r="L106" s="21" t="n">
        <f aca="false">IFERROR(INDEX(Airbnb!$E:$E,MATCH($A106,Airbnb!$A:$A,0)),0)</f>
        <v>0</v>
      </c>
      <c r="M106" s="22" t="n">
        <f aca="false">IFERROR(INDEX(Airbnb!$G:$G,MATCH($A106,Airbnb!$A:$A,0)),0)</f>
        <v>0</v>
      </c>
    </row>
    <row r="107" customFormat="false" ht="15" hidden="false" customHeight="true" outlineLevel="0" collapsed="false">
      <c r="A107" s="23" t="n">
        <f aca="false">Facebook!A106</f>
        <v>46381</v>
      </c>
      <c r="B107" s="24" t="n">
        <f aca="false">IFERROR(INDEX(Facebook!$F:$F,MATCH($A107,Facebook!$A:$A,0)),0)</f>
        <v>0</v>
      </c>
      <c r="C107" s="24" t="n">
        <f aca="false">IFERROR(INDEX(Instagram!$F:$F,MATCH($A107,Instagram!$A:$A,0)),0)</f>
        <v>0</v>
      </c>
      <c r="D107" s="24" t="n">
        <f aca="false">B107+C107</f>
        <v>0</v>
      </c>
      <c r="E107" s="24" t="n">
        <f aca="false">IFERROR(INDEX(Facebook!$E:$E,MATCH($A107,Facebook!$A:$A,0)),0)</f>
        <v>0</v>
      </c>
      <c r="F107" s="24" t="n">
        <f aca="false">IFERROR(INDEX(Instagram!$E:$E,MATCH($A107,Instagram!$A:$A,0)),0)</f>
        <v>0</v>
      </c>
      <c r="G107" s="24" t="n">
        <f aca="false">E107+F107</f>
        <v>0</v>
      </c>
      <c r="H107" s="24" t="n">
        <f aca="false">IFERROR(INDEX(Website!$B:$B,MATCH($A107,Website!$A:$A,0)),0)</f>
        <v>0</v>
      </c>
      <c r="I107" s="24" t="n">
        <f aca="false">IFERROR(INDEX(Airbnb!$C:$C,MATCH($A107,Airbnb!$A:$A,0)),0)</f>
        <v>0</v>
      </c>
      <c r="J107" s="24" t="n">
        <f aca="false">H107+I107</f>
        <v>0</v>
      </c>
      <c r="K107" s="24" t="n">
        <f aca="false">IFERROR(INDEX(Airbnb!$D:$D,MATCH($A107,Airbnb!$A:$A,0)),0)</f>
        <v>0</v>
      </c>
      <c r="L107" s="24" t="n">
        <f aca="false">IFERROR(INDEX(Airbnb!$E:$E,MATCH($A107,Airbnb!$A:$A,0)),0)</f>
        <v>0</v>
      </c>
      <c r="M107" s="25" t="n">
        <f aca="false">IFERROR(INDEX(Airbnb!$G:$G,MATCH($A107,Airbnb!$A:$A,0)),0)</f>
        <v>0</v>
      </c>
    </row>
    <row r="108" customFormat="false" ht="15" hidden="false" customHeight="true" outlineLevel="0" collapsed="false">
      <c r="A108" s="20" t="n">
        <f aca="false">Facebook!A107</f>
        <v>46388</v>
      </c>
      <c r="B108" s="21" t="n">
        <f aca="false">IFERROR(INDEX(Facebook!$F:$F,MATCH($A108,Facebook!$A:$A,0)),0)</f>
        <v>0</v>
      </c>
      <c r="C108" s="21" t="n">
        <f aca="false">IFERROR(INDEX(Instagram!$F:$F,MATCH($A108,Instagram!$A:$A,0)),0)</f>
        <v>0</v>
      </c>
      <c r="D108" s="21" t="n">
        <f aca="false">B108+C108</f>
        <v>0</v>
      </c>
      <c r="E108" s="21" t="n">
        <f aca="false">IFERROR(INDEX(Facebook!$E:$E,MATCH($A108,Facebook!$A:$A,0)),0)</f>
        <v>0</v>
      </c>
      <c r="F108" s="21" t="n">
        <f aca="false">IFERROR(INDEX(Instagram!$E:$E,MATCH($A108,Instagram!$A:$A,0)),0)</f>
        <v>0</v>
      </c>
      <c r="G108" s="21" t="n">
        <f aca="false">E108+F108</f>
        <v>0</v>
      </c>
      <c r="H108" s="21" t="n">
        <f aca="false">IFERROR(INDEX(Website!$B:$B,MATCH($A108,Website!$A:$A,0)),0)</f>
        <v>0</v>
      </c>
      <c r="I108" s="21" t="n">
        <f aca="false">IFERROR(INDEX(Airbnb!$C:$C,MATCH($A108,Airbnb!$A:$A,0)),0)</f>
        <v>0</v>
      </c>
      <c r="J108" s="21" t="n">
        <f aca="false">H108+I108</f>
        <v>0</v>
      </c>
      <c r="K108" s="21" t="n">
        <f aca="false">IFERROR(INDEX(Airbnb!$D:$D,MATCH($A108,Airbnb!$A:$A,0)),0)</f>
        <v>0</v>
      </c>
      <c r="L108" s="21" t="n">
        <f aca="false">IFERROR(INDEX(Airbnb!$E:$E,MATCH($A108,Airbnb!$A:$A,0)),0)</f>
        <v>0</v>
      </c>
      <c r="M108" s="22" t="n">
        <f aca="false">IFERROR(INDEX(Airbnb!$G:$G,MATCH($A108,Airbnb!$A:$A,0)),0)</f>
        <v>0</v>
      </c>
    </row>
    <row r="109" customFormat="false" ht="15" hidden="false" customHeight="true" outlineLevel="0" collapsed="false">
      <c r="A109" s="23" t="n">
        <f aca="false">Facebook!A108</f>
        <v>46395</v>
      </c>
      <c r="B109" s="24" t="n">
        <f aca="false">IFERROR(INDEX(Facebook!$F:$F,MATCH($A109,Facebook!$A:$A,0)),0)</f>
        <v>0</v>
      </c>
      <c r="C109" s="24" t="n">
        <f aca="false">IFERROR(INDEX(Instagram!$F:$F,MATCH($A109,Instagram!$A:$A,0)),0)</f>
        <v>0</v>
      </c>
      <c r="D109" s="24" t="n">
        <f aca="false">B109+C109</f>
        <v>0</v>
      </c>
      <c r="E109" s="24" t="n">
        <f aca="false">IFERROR(INDEX(Facebook!$E:$E,MATCH($A109,Facebook!$A:$A,0)),0)</f>
        <v>0</v>
      </c>
      <c r="F109" s="24" t="n">
        <f aca="false">IFERROR(INDEX(Instagram!$E:$E,MATCH($A109,Instagram!$A:$A,0)),0)</f>
        <v>0</v>
      </c>
      <c r="G109" s="24" t="n">
        <f aca="false">E109+F109</f>
        <v>0</v>
      </c>
      <c r="H109" s="24" t="n">
        <f aca="false">IFERROR(INDEX(Website!$B:$B,MATCH($A109,Website!$A:$A,0)),0)</f>
        <v>0</v>
      </c>
      <c r="I109" s="24" t="n">
        <f aca="false">IFERROR(INDEX(Airbnb!$C:$C,MATCH($A109,Airbnb!$A:$A,0)),0)</f>
        <v>0</v>
      </c>
      <c r="J109" s="24" t="n">
        <f aca="false">H109+I109</f>
        <v>0</v>
      </c>
      <c r="K109" s="24" t="n">
        <f aca="false">IFERROR(INDEX(Airbnb!$D:$D,MATCH($A109,Airbnb!$A:$A,0)),0)</f>
        <v>0</v>
      </c>
      <c r="L109" s="24" t="n">
        <f aca="false">IFERROR(INDEX(Airbnb!$E:$E,MATCH($A109,Airbnb!$A:$A,0)),0)</f>
        <v>0</v>
      </c>
      <c r="M109" s="25" t="n">
        <f aca="false">IFERROR(INDEX(Airbnb!$G:$G,MATCH($A109,Airbnb!$A:$A,0)),0)</f>
        <v>0</v>
      </c>
    </row>
    <row r="110" customFormat="false" ht="15" hidden="false" customHeight="true" outlineLevel="0" collapsed="false">
      <c r="A110" s="20" t="n">
        <f aca="false">Facebook!A109</f>
        <v>46402</v>
      </c>
      <c r="B110" s="21" t="n">
        <f aca="false">IFERROR(INDEX(Facebook!$F:$F,MATCH($A110,Facebook!$A:$A,0)),0)</f>
        <v>0</v>
      </c>
      <c r="C110" s="21" t="n">
        <f aca="false">IFERROR(INDEX(Instagram!$F:$F,MATCH($A110,Instagram!$A:$A,0)),0)</f>
        <v>0</v>
      </c>
      <c r="D110" s="21" t="n">
        <f aca="false">B110+C110</f>
        <v>0</v>
      </c>
      <c r="E110" s="21" t="n">
        <f aca="false">IFERROR(INDEX(Facebook!$E:$E,MATCH($A110,Facebook!$A:$A,0)),0)</f>
        <v>0</v>
      </c>
      <c r="F110" s="21" t="n">
        <f aca="false">IFERROR(INDEX(Instagram!$E:$E,MATCH($A110,Instagram!$A:$A,0)),0)</f>
        <v>0</v>
      </c>
      <c r="G110" s="21" t="n">
        <f aca="false">E110+F110</f>
        <v>0</v>
      </c>
      <c r="H110" s="21" t="n">
        <f aca="false">IFERROR(INDEX(Website!$B:$B,MATCH($A110,Website!$A:$A,0)),0)</f>
        <v>0</v>
      </c>
      <c r="I110" s="21" t="n">
        <f aca="false">IFERROR(INDEX(Airbnb!$C:$C,MATCH($A110,Airbnb!$A:$A,0)),0)</f>
        <v>0</v>
      </c>
      <c r="J110" s="21" t="n">
        <f aca="false">H110+I110</f>
        <v>0</v>
      </c>
      <c r="K110" s="21" t="n">
        <f aca="false">IFERROR(INDEX(Airbnb!$D:$D,MATCH($A110,Airbnb!$A:$A,0)),0)</f>
        <v>0</v>
      </c>
      <c r="L110" s="21" t="n">
        <f aca="false">IFERROR(INDEX(Airbnb!$E:$E,MATCH($A110,Airbnb!$A:$A,0)),0)</f>
        <v>0</v>
      </c>
      <c r="M110" s="22" t="n">
        <f aca="false">IFERROR(INDEX(Airbnb!$G:$G,MATCH($A110,Airbnb!$A:$A,0)),0)</f>
        <v>0</v>
      </c>
    </row>
    <row r="111" customFormat="false" ht="15" hidden="false" customHeight="true" outlineLevel="0" collapsed="false">
      <c r="A111" s="23" t="n">
        <f aca="false">Facebook!A110</f>
        <v>46409</v>
      </c>
      <c r="B111" s="24" t="n">
        <f aca="false">IFERROR(INDEX(Facebook!$F:$F,MATCH($A111,Facebook!$A:$A,0)),0)</f>
        <v>0</v>
      </c>
      <c r="C111" s="24" t="n">
        <f aca="false">IFERROR(INDEX(Instagram!$F:$F,MATCH($A111,Instagram!$A:$A,0)),0)</f>
        <v>0</v>
      </c>
      <c r="D111" s="24" t="n">
        <f aca="false">B111+C111</f>
        <v>0</v>
      </c>
      <c r="E111" s="24" t="n">
        <f aca="false">IFERROR(INDEX(Facebook!$E:$E,MATCH($A111,Facebook!$A:$A,0)),0)</f>
        <v>0</v>
      </c>
      <c r="F111" s="24" t="n">
        <f aca="false">IFERROR(INDEX(Instagram!$E:$E,MATCH($A111,Instagram!$A:$A,0)),0)</f>
        <v>0</v>
      </c>
      <c r="G111" s="24" t="n">
        <f aca="false">E111+F111</f>
        <v>0</v>
      </c>
      <c r="H111" s="24" t="n">
        <f aca="false">IFERROR(INDEX(Website!$B:$B,MATCH($A111,Website!$A:$A,0)),0)</f>
        <v>0</v>
      </c>
      <c r="I111" s="24" t="n">
        <f aca="false">IFERROR(INDEX(Airbnb!$C:$C,MATCH($A111,Airbnb!$A:$A,0)),0)</f>
        <v>0</v>
      </c>
      <c r="J111" s="24" t="n">
        <f aca="false">H111+I111</f>
        <v>0</v>
      </c>
      <c r="K111" s="24" t="n">
        <f aca="false">IFERROR(INDEX(Airbnb!$D:$D,MATCH($A111,Airbnb!$A:$A,0)),0)</f>
        <v>0</v>
      </c>
      <c r="L111" s="24" t="n">
        <f aca="false">IFERROR(INDEX(Airbnb!$E:$E,MATCH($A111,Airbnb!$A:$A,0)),0)</f>
        <v>0</v>
      </c>
      <c r="M111" s="25" t="n">
        <f aca="false">IFERROR(INDEX(Airbnb!$G:$G,MATCH($A111,Airbnb!$A:$A,0)),0)</f>
        <v>0</v>
      </c>
    </row>
    <row r="112" customFormat="false" ht="15" hidden="false" customHeight="true" outlineLevel="0" collapsed="false">
      <c r="A112" s="20" t="n">
        <f aca="false">Facebook!A111</f>
        <v>46416</v>
      </c>
      <c r="B112" s="21" t="n">
        <f aca="false">IFERROR(INDEX(Facebook!$F:$F,MATCH($A112,Facebook!$A:$A,0)),0)</f>
        <v>0</v>
      </c>
      <c r="C112" s="21" t="n">
        <f aca="false">IFERROR(INDEX(Instagram!$F:$F,MATCH($A112,Instagram!$A:$A,0)),0)</f>
        <v>0</v>
      </c>
      <c r="D112" s="21" t="n">
        <f aca="false">B112+C112</f>
        <v>0</v>
      </c>
      <c r="E112" s="21" t="n">
        <f aca="false">IFERROR(INDEX(Facebook!$E:$E,MATCH($A112,Facebook!$A:$A,0)),0)</f>
        <v>0</v>
      </c>
      <c r="F112" s="21" t="n">
        <f aca="false">IFERROR(INDEX(Instagram!$E:$E,MATCH($A112,Instagram!$A:$A,0)),0)</f>
        <v>0</v>
      </c>
      <c r="G112" s="21" t="n">
        <f aca="false">E112+F112</f>
        <v>0</v>
      </c>
      <c r="H112" s="21" t="n">
        <f aca="false">IFERROR(INDEX(Website!$B:$B,MATCH($A112,Website!$A:$A,0)),0)</f>
        <v>0</v>
      </c>
      <c r="I112" s="21" t="n">
        <f aca="false">IFERROR(INDEX(Airbnb!$C:$C,MATCH($A112,Airbnb!$A:$A,0)),0)</f>
        <v>0</v>
      </c>
      <c r="J112" s="21" t="n">
        <f aca="false">H112+I112</f>
        <v>0</v>
      </c>
      <c r="K112" s="21" t="n">
        <f aca="false">IFERROR(INDEX(Airbnb!$D:$D,MATCH($A112,Airbnb!$A:$A,0)),0)</f>
        <v>0</v>
      </c>
      <c r="L112" s="21" t="n">
        <f aca="false">IFERROR(INDEX(Airbnb!$E:$E,MATCH($A112,Airbnb!$A:$A,0)),0)</f>
        <v>0</v>
      </c>
      <c r="M112" s="22" t="n">
        <f aca="false">IFERROR(INDEX(Airbnb!$G:$G,MATCH($A112,Airbnb!$A:$A,0)),0)</f>
        <v>0</v>
      </c>
    </row>
    <row r="113" customFormat="false" ht="15" hidden="false" customHeight="true" outlineLevel="0" collapsed="false">
      <c r="A113" s="23" t="n">
        <f aca="false">Facebook!A112</f>
        <v>46423</v>
      </c>
      <c r="B113" s="24" t="n">
        <f aca="false">IFERROR(INDEX(Facebook!$F:$F,MATCH($A113,Facebook!$A:$A,0)),0)</f>
        <v>0</v>
      </c>
      <c r="C113" s="24" t="n">
        <f aca="false">IFERROR(INDEX(Instagram!$F:$F,MATCH($A113,Instagram!$A:$A,0)),0)</f>
        <v>0</v>
      </c>
      <c r="D113" s="24" t="n">
        <f aca="false">B113+C113</f>
        <v>0</v>
      </c>
      <c r="E113" s="24" t="n">
        <f aca="false">IFERROR(INDEX(Facebook!$E:$E,MATCH($A113,Facebook!$A:$A,0)),0)</f>
        <v>0</v>
      </c>
      <c r="F113" s="24" t="n">
        <f aca="false">IFERROR(INDEX(Instagram!$E:$E,MATCH($A113,Instagram!$A:$A,0)),0)</f>
        <v>0</v>
      </c>
      <c r="G113" s="24" t="n">
        <f aca="false">E113+F113</f>
        <v>0</v>
      </c>
      <c r="H113" s="24" t="n">
        <f aca="false">IFERROR(INDEX(Website!$B:$B,MATCH($A113,Website!$A:$A,0)),0)</f>
        <v>0</v>
      </c>
      <c r="I113" s="24" t="n">
        <f aca="false">IFERROR(INDEX(Airbnb!$C:$C,MATCH($A113,Airbnb!$A:$A,0)),0)</f>
        <v>0</v>
      </c>
      <c r="J113" s="24" t="n">
        <f aca="false">H113+I113</f>
        <v>0</v>
      </c>
      <c r="K113" s="24" t="n">
        <f aca="false">IFERROR(INDEX(Airbnb!$D:$D,MATCH($A113,Airbnb!$A:$A,0)),0)</f>
        <v>0</v>
      </c>
      <c r="L113" s="24" t="n">
        <f aca="false">IFERROR(INDEX(Airbnb!$E:$E,MATCH($A113,Airbnb!$A:$A,0)),0)</f>
        <v>0</v>
      </c>
      <c r="M113" s="25" t="n">
        <f aca="false">IFERROR(INDEX(Airbnb!$G:$G,MATCH($A113,Airbnb!$A:$A,0)),0)</f>
        <v>0</v>
      </c>
    </row>
    <row r="114" customFormat="false" ht="15" hidden="false" customHeight="true" outlineLevel="0" collapsed="false">
      <c r="A114" s="20" t="n">
        <f aca="false">Facebook!A113</f>
        <v>46430</v>
      </c>
      <c r="B114" s="21" t="n">
        <f aca="false">IFERROR(INDEX(Facebook!$F:$F,MATCH($A114,Facebook!$A:$A,0)),0)</f>
        <v>0</v>
      </c>
      <c r="C114" s="21" t="n">
        <f aca="false">IFERROR(INDEX(Instagram!$F:$F,MATCH($A114,Instagram!$A:$A,0)),0)</f>
        <v>0</v>
      </c>
      <c r="D114" s="21" t="n">
        <f aca="false">B114+C114</f>
        <v>0</v>
      </c>
      <c r="E114" s="21" t="n">
        <f aca="false">IFERROR(INDEX(Facebook!$E:$E,MATCH($A114,Facebook!$A:$A,0)),0)</f>
        <v>0</v>
      </c>
      <c r="F114" s="21" t="n">
        <f aca="false">IFERROR(INDEX(Instagram!$E:$E,MATCH($A114,Instagram!$A:$A,0)),0)</f>
        <v>0</v>
      </c>
      <c r="G114" s="21" t="n">
        <f aca="false">E114+F114</f>
        <v>0</v>
      </c>
      <c r="H114" s="21" t="n">
        <f aca="false">IFERROR(INDEX(Website!$B:$B,MATCH($A114,Website!$A:$A,0)),0)</f>
        <v>0</v>
      </c>
      <c r="I114" s="21" t="n">
        <f aca="false">IFERROR(INDEX(Airbnb!$C:$C,MATCH($A114,Airbnb!$A:$A,0)),0)</f>
        <v>0</v>
      </c>
      <c r="J114" s="21" t="n">
        <f aca="false">H114+I114</f>
        <v>0</v>
      </c>
      <c r="K114" s="21" t="n">
        <f aca="false">IFERROR(INDEX(Airbnb!$D:$D,MATCH($A114,Airbnb!$A:$A,0)),0)</f>
        <v>0</v>
      </c>
      <c r="L114" s="21" t="n">
        <f aca="false">IFERROR(INDEX(Airbnb!$E:$E,MATCH($A114,Airbnb!$A:$A,0)),0)</f>
        <v>0</v>
      </c>
      <c r="M114" s="22" t="n">
        <f aca="false">IFERROR(INDEX(Airbnb!$G:$G,MATCH($A114,Airbnb!$A:$A,0)),0)</f>
        <v>0</v>
      </c>
    </row>
    <row r="115" customFormat="false" ht="15" hidden="false" customHeight="true" outlineLevel="0" collapsed="false">
      <c r="A115" s="23" t="n">
        <f aca="false">Facebook!A114</f>
        <v>46437</v>
      </c>
      <c r="B115" s="24" t="n">
        <f aca="false">IFERROR(INDEX(Facebook!$F:$F,MATCH($A115,Facebook!$A:$A,0)),0)</f>
        <v>0</v>
      </c>
      <c r="C115" s="24" t="n">
        <f aca="false">IFERROR(INDEX(Instagram!$F:$F,MATCH($A115,Instagram!$A:$A,0)),0)</f>
        <v>0</v>
      </c>
      <c r="D115" s="24" t="n">
        <f aca="false">B115+C115</f>
        <v>0</v>
      </c>
      <c r="E115" s="24" t="n">
        <f aca="false">IFERROR(INDEX(Facebook!$E:$E,MATCH($A115,Facebook!$A:$A,0)),0)</f>
        <v>0</v>
      </c>
      <c r="F115" s="24" t="n">
        <f aca="false">IFERROR(INDEX(Instagram!$E:$E,MATCH($A115,Instagram!$A:$A,0)),0)</f>
        <v>0</v>
      </c>
      <c r="G115" s="24" t="n">
        <f aca="false">E115+F115</f>
        <v>0</v>
      </c>
      <c r="H115" s="24" t="n">
        <f aca="false">IFERROR(INDEX(Website!$B:$B,MATCH($A115,Website!$A:$A,0)),0)</f>
        <v>0</v>
      </c>
      <c r="I115" s="24" t="n">
        <f aca="false">IFERROR(INDEX(Airbnb!$C:$C,MATCH($A115,Airbnb!$A:$A,0)),0)</f>
        <v>0</v>
      </c>
      <c r="J115" s="24" t="n">
        <f aca="false">H115+I115</f>
        <v>0</v>
      </c>
      <c r="K115" s="24" t="n">
        <f aca="false">IFERROR(INDEX(Airbnb!$D:$D,MATCH($A115,Airbnb!$A:$A,0)),0)</f>
        <v>0</v>
      </c>
      <c r="L115" s="24" t="n">
        <f aca="false">IFERROR(INDEX(Airbnb!$E:$E,MATCH($A115,Airbnb!$A:$A,0)),0)</f>
        <v>0</v>
      </c>
      <c r="M115" s="25" t="n">
        <f aca="false">IFERROR(INDEX(Airbnb!$G:$G,MATCH($A115,Airbnb!$A:$A,0)),0)</f>
        <v>0</v>
      </c>
    </row>
    <row r="116" customFormat="false" ht="15" hidden="false" customHeight="true" outlineLevel="0" collapsed="false">
      <c r="A116" s="20" t="n">
        <f aca="false">Facebook!A115</f>
        <v>46444</v>
      </c>
      <c r="B116" s="21" t="n">
        <f aca="false">IFERROR(INDEX(Facebook!$F:$F,MATCH($A116,Facebook!$A:$A,0)),0)</f>
        <v>0</v>
      </c>
      <c r="C116" s="21" t="n">
        <f aca="false">IFERROR(INDEX(Instagram!$F:$F,MATCH($A116,Instagram!$A:$A,0)),0)</f>
        <v>0</v>
      </c>
      <c r="D116" s="21" t="n">
        <f aca="false">B116+C116</f>
        <v>0</v>
      </c>
      <c r="E116" s="21" t="n">
        <f aca="false">IFERROR(INDEX(Facebook!$E:$E,MATCH($A116,Facebook!$A:$A,0)),0)</f>
        <v>0</v>
      </c>
      <c r="F116" s="21" t="n">
        <f aca="false">IFERROR(INDEX(Instagram!$E:$E,MATCH($A116,Instagram!$A:$A,0)),0)</f>
        <v>0</v>
      </c>
      <c r="G116" s="21" t="n">
        <f aca="false">E116+F116</f>
        <v>0</v>
      </c>
      <c r="H116" s="21" t="n">
        <f aca="false">IFERROR(INDEX(Website!$B:$B,MATCH($A116,Website!$A:$A,0)),0)</f>
        <v>0</v>
      </c>
      <c r="I116" s="21" t="n">
        <f aca="false">IFERROR(INDEX(Airbnb!$C:$C,MATCH($A116,Airbnb!$A:$A,0)),0)</f>
        <v>0</v>
      </c>
      <c r="J116" s="21" t="n">
        <f aca="false">H116+I116</f>
        <v>0</v>
      </c>
      <c r="K116" s="21" t="n">
        <f aca="false">IFERROR(INDEX(Airbnb!$D:$D,MATCH($A116,Airbnb!$A:$A,0)),0)</f>
        <v>0</v>
      </c>
      <c r="L116" s="21" t="n">
        <f aca="false">IFERROR(INDEX(Airbnb!$E:$E,MATCH($A116,Airbnb!$A:$A,0)),0)</f>
        <v>0</v>
      </c>
      <c r="M116" s="22" t="n">
        <f aca="false">IFERROR(INDEX(Airbnb!$G:$G,MATCH($A116,Airbnb!$A:$A,0)),0)</f>
        <v>0</v>
      </c>
    </row>
    <row r="117" customFormat="false" ht="15" hidden="false" customHeight="true" outlineLevel="0" collapsed="false">
      <c r="A117" s="23" t="n">
        <f aca="false">Facebook!A116</f>
        <v>46451</v>
      </c>
      <c r="B117" s="24" t="n">
        <f aca="false">IFERROR(INDEX(Facebook!$F:$F,MATCH($A117,Facebook!$A:$A,0)),0)</f>
        <v>0</v>
      </c>
      <c r="C117" s="24" t="n">
        <f aca="false">IFERROR(INDEX(Instagram!$F:$F,MATCH($A117,Instagram!$A:$A,0)),0)</f>
        <v>0</v>
      </c>
      <c r="D117" s="24" t="n">
        <f aca="false">B117+C117</f>
        <v>0</v>
      </c>
      <c r="E117" s="24" t="n">
        <f aca="false">IFERROR(INDEX(Facebook!$E:$E,MATCH($A117,Facebook!$A:$A,0)),0)</f>
        <v>0</v>
      </c>
      <c r="F117" s="24" t="n">
        <f aca="false">IFERROR(INDEX(Instagram!$E:$E,MATCH($A117,Instagram!$A:$A,0)),0)</f>
        <v>0</v>
      </c>
      <c r="G117" s="24" t="n">
        <f aca="false">E117+F117</f>
        <v>0</v>
      </c>
      <c r="H117" s="24" t="n">
        <f aca="false">IFERROR(INDEX(Website!$B:$B,MATCH($A117,Website!$A:$A,0)),0)</f>
        <v>0</v>
      </c>
      <c r="I117" s="24" t="n">
        <f aca="false">IFERROR(INDEX(Airbnb!$C:$C,MATCH($A117,Airbnb!$A:$A,0)),0)</f>
        <v>0</v>
      </c>
      <c r="J117" s="24" t="n">
        <f aca="false">H117+I117</f>
        <v>0</v>
      </c>
      <c r="K117" s="24" t="n">
        <f aca="false">IFERROR(INDEX(Airbnb!$D:$D,MATCH($A117,Airbnb!$A:$A,0)),0)</f>
        <v>0</v>
      </c>
      <c r="L117" s="24" t="n">
        <f aca="false">IFERROR(INDEX(Airbnb!$E:$E,MATCH($A117,Airbnb!$A:$A,0)),0)</f>
        <v>0</v>
      </c>
      <c r="M117" s="25" t="n">
        <f aca="false">IFERROR(INDEX(Airbnb!$G:$G,MATCH($A117,Airbnb!$A:$A,0)),0)</f>
        <v>0</v>
      </c>
    </row>
    <row r="118" customFormat="false" ht="15" hidden="false" customHeight="true" outlineLevel="0" collapsed="false">
      <c r="A118" s="20" t="n">
        <f aca="false">Facebook!A117</f>
        <v>46458</v>
      </c>
      <c r="B118" s="21" t="n">
        <f aca="false">IFERROR(INDEX(Facebook!$F:$F,MATCH($A118,Facebook!$A:$A,0)),0)</f>
        <v>0</v>
      </c>
      <c r="C118" s="21" t="n">
        <f aca="false">IFERROR(INDEX(Instagram!$F:$F,MATCH($A118,Instagram!$A:$A,0)),0)</f>
        <v>0</v>
      </c>
      <c r="D118" s="21" t="n">
        <f aca="false">B118+C118</f>
        <v>0</v>
      </c>
      <c r="E118" s="21" t="n">
        <f aca="false">IFERROR(INDEX(Facebook!$E:$E,MATCH($A118,Facebook!$A:$A,0)),0)</f>
        <v>0</v>
      </c>
      <c r="F118" s="21" t="n">
        <f aca="false">IFERROR(INDEX(Instagram!$E:$E,MATCH($A118,Instagram!$A:$A,0)),0)</f>
        <v>0</v>
      </c>
      <c r="G118" s="21" t="n">
        <f aca="false">E118+F118</f>
        <v>0</v>
      </c>
      <c r="H118" s="21" t="n">
        <f aca="false">IFERROR(INDEX(Website!$B:$B,MATCH($A118,Website!$A:$A,0)),0)</f>
        <v>0</v>
      </c>
      <c r="I118" s="21" t="n">
        <f aca="false">IFERROR(INDEX(Airbnb!$C:$C,MATCH($A118,Airbnb!$A:$A,0)),0)</f>
        <v>0</v>
      </c>
      <c r="J118" s="21" t="n">
        <f aca="false">H118+I118</f>
        <v>0</v>
      </c>
      <c r="K118" s="21" t="n">
        <f aca="false">IFERROR(INDEX(Airbnb!$D:$D,MATCH($A118,Airbnb!$A:$A,0)),0)</f>
        <v>0</v>
      </c>
      <c r="L118" s="21" t="n">
        <f aca="false">IFERROR(INDEX(Airbnb!$E:$E,MATCH($A118,Airbnb!$A:$A,0)),0)</f>
        <v>0</v>
      </c>
      <c r="M118" s="22" t="n">
        <f aca="false">IFERROR(INDEX(Airbnb!$G:$G,MATCH($A118,Airbnb!$A:$A,0)),0)</f>
        <v>0</v>
      </c>
    </row>
    <row r="119" customFormat="false" ht="15" hidden="false" customHeight="true" outlineLevel="0" collapsed="false">
      <c r="A119" s="23" t="n">
        <f aca="false">Facebook!A118</f>
        <v>46465</v>
      </c>
      <c r="B119" s="24" t="n">
        <f aca="false">IFERROR(INDEX(Facebook!$F:$F,MATCH($A119,Facebook!$A:$A,0)),0)</f>
        <v>0</v>
      </c>
      <c r="C119" s="24" t="n">
        <f aca="false">IFERROR(INDEX(Instagram!$F:$F,MATCH($A119,Instagram!$A:$A,0)),0)</f>
        <v>0</v>
      </c>
      <c r="D119" s="24" t="n">
        <f aca="false">B119+C119</f>
        <v>0</v>
      </c>
      <c r="E119" s="24" t="n">
        <f aca="false">IFERROR(INDEX(Facebook!$E:$E,MATCH($A119,Facebook!$A:$A,0)),0)</f>
        <v>0</v>
      </c>
      <c r="F119" s="24" t="n">
        <f aca="false">IFERROR(INDEX(Instagram!$E:$E,MATCH($A119,Instagram!$A:$A,0)),0)</f>
        <v>0</v>
      </c>
      <c r="G119" s="24" t="n">
        <f aca="false">E119+F119</f>
        <v>0</v>
      </c>
      <c r="H119" s="24" t="n">
        <f aca="false">IFERROR(INDEX(Website!$B:$B,MATCH($A119,Website!$A:$A,0)),0)</f>
        <v>0</v>
      </c>
      <c r="I119" s="24" t="n">
        <f aca="false">IFERROR(INDEX(Airbnb!$C:$C,MATCH($A119,Airbnb!$A:$A,0)),0)</f>
        <v>0</v>
      </c>
      <c r="J119" s="24" t="n">
        <f aca="false">H119+I119</f>
        <v>0</v>
      </c>
      <c r="K119" s="24" t="n">
        <f aca="false">IFERROR(INDEX(Airbnb!$D:$D,MATCH($A119,Airbnb!$A:$A,0)),0)</f>
        <v>0</v>
      </c>
      <c r="L119" s="24" t="n">
        <f aca="false">IFERROR(INDEX(Airbnb!$E:$E,MATCH($A119,Airbnb!$A:$A,0)),0)</f>
        <v>0</v>
      </c>
      <c r="M119" s="25" t="n">
        <f aca="false">IFERROR(INDEX(Airbnb!$G:$G,MATCH($A119,Airbnb!$A:$A,0)),0)</f>
        <v>0</v>
      </c>
    </row>
    <row r="120" customFormat="false" ht="15" hidden="false" customHeight="true" outlineLevel="0" collapsed="false">
      <c r="A120" s="20" t="n">
        <f aca="false">Facebook!A119</f>
        <v>46472</v>
      </c>
      <c r="B120" s="21" t="n">
        <f aca="false">IFERROR(INDEX(Facebook!$F:$F,MATCH($A120,Facebook!$A:$A,0)),0)</f>
        <v>0</v>
      </c>
      <c r="C120" s="21" t="n">
        <f aca="false">IFERROR(INDEX(Instagram!$F:$F,MATCH($A120,Instagram!$A:$A,0)),0)</f>
        <v>0</v>
      </c>
      <c r="D120" s="21" t="n">
        <f aca="false">B120+C120</f>
        <v>0</v>
      </c>
      <c r="E120" s="21" t="n">
        <f aca="false">IFERROR(INDEX(Facebook!$E:$E,MATCH($A120,Facebook!$A:$A,0)),0)</f>
        <v>0</v>
      </c>
      <c r="F120" s="21" t="n">
        <f aca="false">IFERROR(INDEX(Instagram!$E:$E,MATCH($A120,Instagram!$A:$A,0)),0)</f>
        <v>0</v>
      </c>
      <c r="G120" s="21" t="n">
        <f aca="false">E120+F120</f>
        <v>0</v>
      </c>
      <c r="H120" s="21" t="n">
        <f aca="false">IFERROR(INDEX(Website!$B:$B,MATCH($A120,Website!$A:$A,0)),0)</f>
        <v>0</v>
      </c>
      <c r="I120" s="21" t="n">
        <f aca="false">IFERROR(INDEX(Airbnb!$C:$C,MATCH($A120,Airbnb!$A:$A,0)),0)</f>
        <v>0</v>
      </c>
      <c r="J120" s="21" t="n">
        <f aca="false">H120+I120</f>
        <v>0</v>
      </c>
      <c r="K120" s="21" t="n">
        <f aca="false">IFERROR(INDEX(Airbnb!$D:$D,MATCH($A120,Airbnb!$A:$A,0)),0)</f>
        <v>0</v>
      </c>
      <c r="L120" s="21" t="n">
        <f aca="false">IFERROR(INDEX(Airbnb!$E:$E,MATCH($A120,Airbnb!$A:$A,0)),0)</f>
        <v>0</v>
      </c>
      <c r="M120" s="22" t="n">
        <f aca="false">IFERROR(INDEX(Airbnb!$G:$G,MATCH($A120,Airbnb!$A:$A,0)),0)</f>
        <v>0</v>
      </c>
    </row>
    <row r="121" customFormat="false" ht="15" hidden="false" customHeight="true" outlineLevel="0" collapsed="false">
      <c r="A121" s="23" t="n">
        <f aca="false">Facebook!A120</f>
        <v>46479</v>
      </c>
      <c r="B121" s="24" t="n">
        <f aca="false">IFERROR(INDEX(Facebook!$F:$F,MATCH($A121,Facebook!$A:$A,0)),0)</f>
        <v>0</v>
      </c>
      <c r="C121" s="24" t="n">
        <f aca="false">IFERROR(INDEX(Instagram!$F:$F,MATCH($A121,Instagram!$A:$A,0)),0)</f>
        <v>0</v>
      </c>
      <c r="D121" s="24" t="n">
        <f aca="false">B121+C121</f>
        <v>0</v>
      </c>
      <c r="E121" s="24" t="n">
        <f aca="false">IFERROR(INDEX(Facebook!$E:$E,MATCH($A121,Facebook!$A:$A,0)),0)</f>
        <v>0</v>
      </c>
      <c r="F121" s="24" t="n">
        <f aca="false">IFERROR(INDEX(Instagram!$E:$E,MATCH($A121,Instagram!$A:$A,0)),0)</f>
        <v>0</v>
      </c>
      <c r="G121" s="24" t="n">
        <f aca="false">E121+F121</f>
        <v>0</v>
      </c>
      <c r="H121" s="24" t="n">
        <f aca="false">IFERROR(INDEX(Website!$B:$B,MATCH($A121,Website!$A:$A,0)),0)</f>
        <v>0</v>
      </c>
      <c r="I121" s="24" t="n">
        <f aca="false">IFERROR(INDEX(Airbnb!$C:$C,MATCH($A121,Airbnb!$A:$A,0)),0)</f>
        <v>0</v>
      </c>
      <c r="J121" s="24" t="n">
        <f aca="false">H121+I121</f>
        <v>0</v>
      </c>
      <c r="K121" s="24" t="n">
        <f aca="false">IFERROR(INDEX(Airbnb!$D:$D,MATCH($A121,Airbnb!$A:$A,0)),0)</f>
        <v>0</v>
      </c>
      <c r="L121" s="24" t="n">
        <f aca="false">IFERROR(INDEX(Airbnb!$E:$E,MATCH($A121,Airbnb!$A:$A,0)),0)</f>
        <v>0</v>
      </c>
      <c r="M121" s="25" t="n">
        <f aca="false">IFERROR(INDEX(Airbnb!$G:$G,MATCH($A121,Airbnb!$A:$A,0)),0)</f>
        <v>0</v>
      </c>
    </row>
    <row r="122" customFormat="false" ht="15" hidden="false" customHeight="true" outlineLevel="0" collapsed="false">
      <c r="A122" s="20" t="n">
        <f aca="false">Facebook!A121</f>
        <v>46486</v>
      </c>
      <c r="B122" s="21" t="n">
        <f aca="false">IFERROR(INDEX(Facebook!$F:$F,MATCH($A122,Facebook!$A:$A,0)),0)</f>
        <v>0</v>
      </c>
      <c r="C122" s="21" t="n">
        <f aca="false">IFERROR(INDEX(Instagram!$F:$F,MATCH($A122,Instagram!$A:$A,0)),0)</f>
        <v>0</v>
      </c>
      <c r="D122" s="21" t="n">
        <f aca="false">B122+C122</f>
        <v>0</v>
      </c>
      <c r="E122" s="21" t="n">
        <f aca="false">IFERROR(INDEX(Facebook!$E:$E,MATCH($A122,Facebook!$A:$A,0)),0)</f>
        <v>0</v>
      </c>
      <c r="F122" s="21" t="n">
        <f aca="false">IFERROR(INDEX(Instagram!$E:$E,MATCH($A122,Instagram!$A:$A,0)),0)</f>
        <v>0</v>
      </c>
      <c r="G122" s="21" t="n">
        <f aca="false">E122+F122</f>
        <v>0</v>
      </c>
      <c r="H122" s="21" t="n">
        <f aca="false">IFERROR(INDEX(Website!$B:$B,MATCH($A122,Website!$A:$A,0)),0)</f>
        <v>0</v>
      </c>
      <c r="I122" s="21" t="n">
        <f aca="false">IFERROR(INDEX(Airbnb!$C:$C,MATCH($A122,Airbnb!$A:$A,0)),0)</f>
        <v>0</v>
      </c>
      <c r="J122" s="21" t="n">
        <f aca="false">H122+I122</f>
        <v>0</v>
      </c>
      <c r="K122" s="21" t="n">
        <f aca="false">IFERROR(INDEX(Airbnb!$D:$D,MATCH($A122,Airbnb!$A:$A,0)),0)</f>
        <v>0</v>
      </c>
      <c r="L122" s="21" t="n">
        <f aca="false">IFERROR(INDEX(Airbnb!$E:$E,MATCH($A122,Airbnb!$A:$A,0)),0)</f>
        <v>0</v>
      </c>
      <c r="M122" s="22" t="n">
        <f aca="false">IFERROR(INDEX(Airbnb!$G:$G,MATCH($A122,Airbnb!$A:$A,0)),0)</f>
        <v>0</v>
      </c>
    </row>
    <row r="123" customFormat="false" ht="15" hidden="false" customHeight="true" outlineLevel="0" collapsed="false">
      <c r="A123" s="23" t="n">
        <f aca="false">Facebook!A122</f>
        <v>46493</v>
      </c>
      <c r="B123" s="24" t="n">
        <f aca="false">IFERROR(INDEX(Facebook!$F:$F,MATCH($A123,Facebook!$A:$A,0)),0)</f>
        <v>0</v>
      </c>
      <c r="C123" s="24" t="n">
        <f aca="false">IFERROR(INDEX(Instagram!$F:$F,MATCH($A123,Instagram!$A:$A,0)),0)</f>
        <v>0</v>
      </c>
      <c r="D123" s="24" t="n">
        <f aca="false">B123+C123</f>
        <v>0</v>
      </c>
      <c r="E123" s="24" t="n">
        <f aca="false">IFERROR(INDEX(Facebook!$E:$E,MATCH($A123,Facebook!$A:$A,0)),0)</f>
        <v>0</v>
      </c>
      <c r="F123" s="24" t="n">
        <f aca="false">IFERROR(INDEX(Instagram!$E:$E,MATCH($A123,Instagram!$A:$A,0)),0)</f>
        <v>0</v>
      </c>
      <c r="G123" s="24" t="n">
        <f aca="false">E123+F123</f>
        <v>0</v>
      </c>
      <c r="H123" s="24" t="n">
        <f aca="false">IFERROR(INDEX(Website!$B:$B,MATCH($A123,Website!$A:$A,0)),0)</f>
        <v>0</v>
      </c>
      <c r="I123" s="24" t="n">
        <f aca="false">IFERROR(INDEX(Airbnb!$C:$C,MATCH($A123,Airbnb!$A:$A,0)),0)</f>
        <v>0</v>
      </c>
      <c r="J123" s="24" t="n">
        <f aca="false">H123+I123</f>
        <v>0</v>
      </c>
      <c r="K123" s="24" t="n">
        <f aca="false">IFERROR(INDEX(Airbnb!$D:$D,MATCH($A123,Airbnb!$A:$A,0)),0)</f>
        <v>0</v>
      </c>
      <c r="L123" s="24" t="n">
        <f aca="false">IFERROR(INDEX(Airbnb!$E:$E,MATCH($A123,Airbnb!$A:$A,0)),0)</f>
        <v>0</v>
      </c>
      <c r="M123" s="25" t="n">
        <f aca="false">IFERROR(INDEX(Airbnb!$G:$G,MATCH($A123,Airbnb!$A:$A,0)),0)</f>
        <v>0</v>
      </c>
    </row>
    <row r="124" customFormat="false" ht="15" hidden="false" customHeight="true" outlineLevel="0" collapsed="false">
      <c r="A124" s="20" t="n">
        <f aca="false">Facebook!A123</f>
        <v>46500</v>
      </c>
      <c r="B124" s="21" t="n">
        <f aca="false">IFERROR(INDEX(Facebook!$F:$F,MATCH($A124,Facebook!$A:$A,0)),0)</f>
        <v>0</v>
      </c>
      <c r="C124" s="21" t="n">
        <f aca="false">IFERROR(INDEX(Instagram!$F:$F,MATCH($A124,Instagram!$A:$A,0)),0)</f>
        <v>0</v>
      </c>
      <c r="D124" s="21" t="n">
        <f aca="false">B124+C124</f>
        <v>0</v>
      </c>
      <c r="E124" s="21" t="n">
        <f aca="false">IFERROR(INDEX(Facebook!$E:$E,MATCH($A124,Facebook!$A:$A,0)),0)</f>
        <v>0</v>
      </c>
      <c r="F124" s="21" t="n">
        <f aca="false">IFERROR(INDEX(Instagram!$E:$E,MATCH($A124,Instagram!$A:$A,0)),0)</f>
        <v>0</v>
      </c>
      <c r="G124" s="21" t="n">
        <f aca="false">E124+F124</f>
        <v>0</v>
      </c>
      <c r="H124" s="21" t="n">
        <f aca="false">IFERROR(INDEX(Website!$B:$B,MATCH($A124,Website!$A:$A,0)),0)</f>
        <v>0</v>
      </c>
      <c r="I124" s="21" t="n">
        <f aca="false">IFERROR(INDEX(Airbnb!$C:$C,MATCH($A124,Airbnb!$A:$A,0)),0)</f>
        <v>0</v>
      </c>
      <c r="J124" s="21" t="n">
        <f aca="false">H124+I124</f>
        <v>0</v>
      </c>
      <c r="K124" s="21" t="n">
        <f aca="false">IFERROR(INDEX(Airbnb!$D:$D,MATCH($A124,Airbnb!$A:$A,0)),0)</f>
        <v>0</v>
      </c>
      <c r="L124" s="21" t="n">
        <f aca="false">IFERROR(INDEX(Airbnb!$E:$E,MATCH($A124,Airbnb!$A:$A,0)),0)</f>
        <v>0</v>
      </c>
      <c r="M124" s="22" t="n">
        <f aca="false">IFERROR(INDEX(Airbnb!$G:$G,MATCH($A124,Airbnb!$A:$A,0)),0)</f>
        <v>0</v>
      </c>
    </row>
    <row r="125" customFormat="false" ht="15" hidden="false" customHeight="true" outlineLevel="0" collapsed="false">
      <c r="A125" s="23" t="n">
        <f aca="false">Facebook!A124</f>
        <v>46507</v>
      </c>
      <c r="B125" s="24" t="n">
        <f aca="false">IFERROR(INDEX(Facebook!$F:$F,MATCH($A125,Facebook!$A:$A,0)),0)</f>
        <v>0</v>
      </c>
      <c r="C125" s="24" t="n">
        <f aca="false">IFERROR(INDEX(Instagram!$F:$F,MATCH($A125,Instagram!$A:$A,0)),0)</f>
        <v>0</v>
      </c>
      <c r="D125" s="24" t="n">
        <f aca="false">B125+C125</f>
        <v>0</v>
      </c>
      <c r="E125" s="24" t="n">
        <f aca="false">IFERROR(INDEX(Facebook!$E:$E,MATCH($A125,Facebook!$A:$A,0)),0)</f>
        <v>0</v>
      </c>
      <c r="F125" s="24" t="n">
        <f aca="false">IFERROR(INDEX(Instagram!$E:$E,MATCH($A125,Instagram!$A:$A,0)),0)</f>
        <v>0</v>
      </c>
      <c r="G125" s="24" t="n">
        <f aca="false">E125+F125</f>
        <v>0</v>
      </c>
      <c r="H125" s="24" t="n">
        <f aca="false">IFERROR(INDEX(Website!$B:$B,MATCH($A125,Website!$A:$A,0)),0)</f>
        <v>0</v>
      </c>
      <c r="I125" s="24" t="n">
        <f aca="false">IFERROR(INDEX(Airbnb!$C:$C,MATCH($A125,Airbnb!$A:$A,0)),0)</f>
        <v>0</v>
      </c>
      <c r="J125" s="24" t="n">
        <f aca="false">H125+I125</f>
        <v>0</v>
      </c>
      <c r="K125" s="24" t="n">
        <f aca="false">IFERROR(INDEX(Airbnb!$D:$D,MATCH($A125,Airbnb!$A:$A,0)),0)</f>
        <v>0</v>
      </c>
      <c r="L125" s="24" t="n">
        <f aca="false">IFERROR(INDEX(Airbnb!$E:$E,MATCH($A125,Airbnb!$A:$A,0)),0)</f>
        <v>0</v>
      </c>
      <c r="M125" s="25" t="n">
        <f aca="false">IFERROR(INDEX(Airbnb!$G:$G,MATCH($A125,Airbnb!$A:$A,0)),0)</f>
        <v>0</v>
      </c>
    </row>
    <row r="126" customFormat="false" ht="15" hidden="false" customHeight="true" outlineLevel="0" collapsed="false">
      <c r="A126" s="20" t="n">
        <f aca="false">Facebook!A125</f>
        <v>46514</v>
      </c>
      <c r="B126" s="21" t="n">
        <f aca="false">IFERROR(INDEX(Facebook!$F:$F,MATCH($A126,Facebook!$A:$A,0)),0)</f>
        <v>0</v>
      </c>
      <c r="C126" s="21" t="n">
        <f aca="false">IFERROR(INDEX(Instagram!$F:$F,MATCH($A126,Instagram!$A:$A,0)),0)</f>
        <v>0</v>
      </c>
      <c r="D126" s="21" t="n">
        <f aca="false">B126+C126</f>
        <v>0</v>
      </c>
      <c r="E126" s="21" t="n">
        <f aca="false">IFERROR(INDEX(Facebook!$E:$E,MATCH($A126,Facebook!$A:$A,0)),0)</f>
        <v>0</v>
      </c>
      <c r="F126" s="21" t="n">
        <f aca="false">IFERROR(INDEX(Instagram!$E:$E,MATCH($A126,Instagram!$A:$A,0)),0)</f>
        <v>0</v>
      </c>
      <c r="G126" s="21" t="n">
        <f aca="false">E126+F126</f>
        <v>0</v>
      </c>
      <c r="H126" s="21" t="n">
        <f aca="false">IFERROR(INDEX(Website!$B:$B,MATCH($A126,Website!$A:$A,0)),0)</f>
        <v>0</v>
      </c>
      <c r="I126" s="21" t="n">
        <f aca="false">IFERROR(INDEX(Airbnb!$C:$C,MATCH($A126,Airbnb!$A:$A,0)),0)</f>
        <v>0</v>
      </c>
      <c r="J126" s="21" t="n">
        <f aca="false">H126+I126</f>
        <v>0</v>
      </c>
      <c r="K126" s="21" t="n">
        <f aca="false">IFERROR(INDEX(Airbnb!$D:$D,MATCH($A126,Airbnb!$A:$A,0)),0)</f>
        <v>0</v>
      </c>
      <c r="L126" s="21" t="n">
        <f aca="false">IFERROR(INDEX(Airbnb!$E:$E,MATCH($A126,Airbnb!$A:$A,0)),0)</f>
        <v>0</v>
      </c>
      <c r="M126" s="22" t="n">
        <f aca="false">IFERROR(INDEX(Airbnb!$G:$G,MATCH($A126,Airbnb!$A:$A,0)),0)</f>
        <v>0</v>
      </c>
    </row>
    <row r="127" customFormat="false" ht="15" hidden="false" customHeight="true" outlineLevel="0" collapsed="false">
      <c r="A127" s="23" t="n">
        <f aca="false">Facebook!A126</f>
        <v>46521</v>
      </c>
      <c r="B127" s="24" t="n">
        <f aca="false">IFERROR(INDEX(Facebook!$F:$F,MATCH($A127,Facebook!$A:$A,0)),0)</f>
        <v>0</v>
      </c>
      <c r="C127" s="24" t="n">
        <f aca="false">IFERROR(INDEX(Instagram!$F:$F,MATCH($A127,Instagram!$A:$A,0)),0)</f>
        <v>0</v>
      </c>
      <c r="D127" s="24" t="n">
        <f aca="false">B127+C127</f>
        <v>0</v>
      </c>
      <c r="E127" s="24" t="n">
        <f aca="false">IFERROR(INDEX(Facebook!$E:$E,MATCH($A127,Facebook!$A:$A,0)),0)</f>
        <v>0</v>
      </c>
      <c r="F127" s="24" t="n">
        <f aca="false">IFERROR(INDEX(Instagram!$E:$E,MATCH($A127,Instagram!$A:$A,0)),0)</f>
        <v>0</v>
      </c>
      <c r="G127" s="24" t="n">
        <f aca="false">E127+F127</f>
        <v>0</v>
      </c>
      <c r="H127" s="24" t="n">
        <f aca="false">IFERROR(INDEX(Website!$B:$B,MATCH($A127,Website!$A:$A,0)),0)</f>
        <v>0</v>
      </c>
      <c r="I127" s="24" t="n">
        <f aca="false">IFERROR(INDEX(Airbnb!$C:$C,MATCH($A127,Airbnb!$A:$A,0)),0)</f>
        <v>0</v>
      </c>
      <c r="J127" s="24" t="n">
        <f aca="false">H127+I127</f>
        <v>0</v>
      </c>
      <c r="K127" s="24" t="n">
        <f aca="false">IFERROR(INDEX(Airbnb!$D:$D,MATCH($A127,Airbnb!$A:$A,0)),0)</f>
        <v>0</v>
      </c>
      <c r="L127" s="24" t="n">
        <f aca="false">IFERROR(INDEX(Airbnb!$E:$E,MATCH($A127,Airbnb!$A:$A,0)),0)</f>
        <v>0</v>
      </c>
      <c r="M127" s="25" t="n">
        <f aca="false">IFERROR(INDEX(Airbnb!$G:$G,MATCH($A127,Airbnb!$A:$A,0)),0)</f>
        <v>0</v>
      </c>
    </row>
    <row r="128" customFormat="false" ht="15" hidden="false" customHeight="true" outlineLevel="0" collapsed="false">
      <c r="A128" s="20" t="n">
        <f aca="false">Facebook!A127</f>
        <v>46528</v>
      </c>
      <c r="B128" s="21" t="n">
        <f aca="false">IFERROR(INDEX(Facebook!$F:$F,MATCH($A128,Facebook!$A:$A,0)),0)</f>
        <v>0</v>
      </c>
      <c r="C128" s="21" t="n">
        <f aca="false">IFERROR(INDEX(Instagram!$F:$F,MATCH($A128,Instagram!$A:$A,0)),0)</f>
        <v>0</v>
      </c>
      <c r="D128" s="21" t="n">
        <f aca="false">B128+C128</f>
        <v>0</v>
      </c>
      <c r="E128" s="21" t="n">
        <f aca="false">IFERROR(INDEX(Facebook!$E:$E,MATCH($A128,Facebook!$A:$A,0)),0)</f>
        <v>0</v>
      </c>
      <c r="F128" s="21" t="n">
        <f aca="false">IFERROR(INDEX(Instagram!$E:$E,MATCH($A128,Instagram!$A:$A,0)),0)</f>
        <v>0</v>
      </c>
      <c r="G128" s="21" t="n">
        <f aca="false">E128+F128</f>
        <v>0</v>
      </c>
      <c r="H128" s="21" t="n">
        <f aca="false">IFERROR(INDEX(Website!$B:$B,MATCH($A128,Website!$A:$A,0)),0)</f>
        <v>0</v>
      </c>
      <c r="I128" s="21" t="n">
        <f aca="false">IFERROR(INDEX(Airbnb!$C:$C,MATCH($A128,Airbnb!$A:$A,0)),0)</f>
        <v>0</v>
      </c>
      <c r="J128" s="21" t="n">
        <f aca="false">H128+I128</f>
        <v>0</v>
      </c>
      <c r="K128" s="21" t="n">
        <f aca="false">IFERROR(INDEX(Airbnb!$D:$D,MATCH($A128,Airbnb!$A:$A,0)),0)</f>
        <v>0</v>
      </c>
      <c r="L128" s="21" t="n">
        <f aca="false">IFERROR(INDEX(Airbnb!$E:$E,MATCH($A128,Airbnb!$A:$A,0)),0)</f>
        <v>0</v>
      </c>
      <c r="M128" s="22" t="n">
        <f aca="false">IFERROR(INDEX(Airbnb!$G:$G,MATCH($A128,Airbnb!$A:$A,0)),0)</f>
        <v>0</v>
      </c>
    </row>
    <row r="129" customFormat="false" ht="15" hidden="false" customHeight="true" outlineLevel="0" collapsed="false">
      <c r="A129" s="23" t="n">
        <f aca="false">Facebook!A128</f>
        <v>46535</v>
      </c>
      <c r="B129" s="24" t="n">
        <f aca="false">IFERROR(INDEX(Facebook!$F:$F,MATCH($A129,Facebook!$A:$A,0)),0)</f>
        <v>0</v>
      </c>
      <c r="C129" s="24" t="n">
        <f aca="false">IFERROR(INDEX(Instagram!$F:$F,MATCH($A129,Instagram!$A:$A,0)),0)</f>
        <v>0</v>
      </c>
      <c r="D129" s="24" t="n">
        <f aca="false">B129+C129</f>
        <v>0</v>
      </c>
      <c r="E129" s="24" t="n">
        <f aca="false">IFERROR(INDEX(Facebook!$E:$E,MATCH($A129,Facebook!$A:$A,0)),0)</f>
        <v>0</v>
      </c>
      <c r="F129" s="24" t="n">
        <f aca="false">IFERROR(INDEX(Instagram!$E:$E,MATCH($A129,Instagram!$A:$A,0)),0)</f>
        <v>0</v>
      </c>
      <c r="G129" s="24" t="n">
        <f aca="false">E129+F129</f>
        <v>0</v>
      </c>
      <c r="H129" s="24" t="n">
        <f aca="false">IFERROR(INDEX(Website!$B:$B,MATCH($A129,Website!$A:$A,0)),0)</f>
        <v>0</v>
      </c>
      <c r="I129" s="24" t="n">
        <f aca="false">IFERROR(INDEX(Airbnb!$C:$C,MATCH($A129,Airbnb!$A:$A,0)),0)</f>
        <v>0</v>
      </c>
      <c r="J129" s="24" t="n">
        <f aca="false">H129+I129</f>
        <v>0</v>
      </c>
      <c r="K129" s="24" t="n">
        <f aca="false">IFERROR(INDEX(Airbnb!$D:$D,MATCH($A129,Airbnb!$A:$A,0)),0)</f>
        <v>0</v>
      </c>
      <c r="L129" s="24" t="n">
        <f aca="false">IFERROR(INDEX(Airbnb!$E:$E,MATCH($A129,Airbnb!$A:$A,0)),0)</f>
        <v>0</v>
      </c>
      <c r="M129" s="25" t="n">
        <f aca="false">IFERROR(INDEX(Airbnb!$G:$G,MATCH($A129,Airbnb!$A:$A,0)),0)</f>
        <v>0</v>
      </c>
    </row>
    <row r="130" customFormat="false" ht="15" hidden="false" customHeight="true" outlineLevel="0" collapsed="false">
      <c r="A130" s="20" t="n">
        <f aca="false">Facebook!A129</f>
        <v>46542</v>
      </c>
      <c r="B130" s="21" t="n">
        <f aca="false">IFERROR(INDEX(Facebook!$F:$F,MATCH($A130,Facebook!$A:$A,0)),0)</f>
        <v>0</v>
      </c>
      <c r="C130" s="21" t="n">
        <f aca="false">IFERROR(INDEX(Instagram!$F:$F,MATCH($A130,Instagram!$A:$A,0)),0)</f>
        <v>0</v>
      </c>
      <c r="D130" s="21" t="n">
        <f aca="false">B130+C130</f>
        <v>0</v>
      </c>
      <c r="E130" s="21" t="n">
        <f aca="false">IFERROR(INDEX(Facebook!$E:$E,MATCH($A130,Facebook!$A:$A,0)),0)</f>
        <v>0</v>
      </c>
      <c r="F130" s="21" t="n">
        <f aca="false">IFERROR(INDEX(Instagram!$E:$E,MATCH($A130,Instagram!$A:$A,0)),0)</f>
        <v>0</v>
      </c>
      <c r="G130" s="21" t="n">
        <f aca="false">E130+F130</f>
        <v>0</v>
      </c>
      <c r="H130" s="21" t="n">
        <f aca="false">IFERROR(INDEX(Website!$B:$B,MATCH($A130,Website!$A:$A,0)),0)</f>
        <v>0</v>
      </c>
      <c r="I130" s="21" t="n">
        <f aca="false">IFERROR(INDEX(Airbnb!$C:$C,MATCH($A130,Airbnb!$A:$A,0)),0)</f>
        <v>0</v>
      </c>
      <c r="J130" s="21" t="n">
        <f aca="false">H130+I130</f>
        <v>0</v>
      </c>
      <c r="K130" s="21" t="n">
        <f aca="false">IFERROR(INDEX(Airbnb!$D:$D,MATCH($A130,Airbnb!$A:$A,0)),0)</f>
        <v>0</v>
      </c>
      <c r="L130" s="21" t="n">
        <f aca="false">IFERROR(INDEX(Airbnb!$E:$E,MATCH($A130,Airbnb!$A:$A,0)),0)</f>
        <v>0</v>
      </c>
      <c r="M130" s="22" t="n">
        <f aca="false">IFERROR(INDEX(Airbnb!$G:$G,MATCH($A130,Airbnb!$A:$A,0)),0)</f>
        <v>0</v>
      </c>
    </row>
    <row r="131" customFormat="false" ht="15" hidden="false" customHeight="true" outlineLevel="0" collapsed="false">
      <c r="A131" s="23" t="n">
        <f aca="false">Facebook!A130</f>
        <v>46549</v>
      </c>
      <c r="B131" s="24" t="n">
        <f aca="false">IFERROR(INDEX(Facebook!$F:$F,MATCH($A131,Facebook!$A:$A,0)),0)</f>
        <v>0</v>
      </c>
      <c r="C131" s="24" t="n">
        <f aca="false">IFERROR(INDEX(Instagram!$F:$F,MATCH($A131,Instagram!$A:$A,0)),0)</f>
        <v>0</v>
      </c>
      <c r="D131" s="24" t="n">
        <f aca="false">B131+C131</f>
        <v>0</v>
      </c>
      <c r="E131" s="24" t="n">
        <f aca="false">IFERROR(INDEX(Facebook!$E:$E,MATCH($A131,Facebook!$A:$A,0)),0)</f>
        <v>0</v>
      </c>
      <c r="F131" s="24" t="n">
        <f aca="false">IFERROR(INDEX(Instagram!$E:$E,MATCH($A131,Instagram!$A:$A,0)),0)</f>
        <v>0</v>
      </c>
      <c r="G131" s="24" t="n">
        <f aca="false">E131+F131</f>
        <v>0</v>
      </c>
      <c r="H131" s="24" t="n">
        <f aca="false">IFERROR(INDEX(Website!$B:$B,MATCH($A131,Website!$A:$A,0)),0)</f>
        <v>0</v>
      </c>
      <c r="I131" s="24" t="n">
        <f aca="false">IFERROR(INDEX(Airbnb!$C:$C,MATCH($A131,Airbnb!$A:$A,0)),0)</f>
        <v>0</v>
      </c>
      <c r="J131" s="24" t="n">
        <f aca="false">H131+I131</f>
        <v>0</v>
      </c>
      <c r="K131" s="24" t="n">
        <f aca="false">IFERROR(INDEX(Airbnb!$D:$D,MATCH($A131,Airbnb!$A:$A,0)),0)</f>
        <v>0</v>
      </c>
      <c r="L131" s="24" t="n">
        <f aca="false">IFERROR(INDEX(Airbnb!$E:$E,MATCH($A131,Airbnb!$A:$A,0)),0)</f>
        <v>0</v>
      </c>
      <c r="M131" s="25" t="n">
        <f aca="false">IFERROR(INDEX(Airbnb!$G:$G,MATCH($A131,Airbnb!$A:$A,0)),0)</f>
        <v>0</v>
      </c>
    </row>
    <row r="132" customFormat="false" ht="15" hidden="false" customHeight="true" outlineLevel="0" collapsed="false">
      <c r="A132" s="20" t="n">
        <f aca="false">Facebook!A131</f>
        <v>46556</v>
      </c>
      <c r="B132" s="21" t="n">
        <f aca="false">IFERROR(INDEX(Facebook!$F:$F,MATCH($A132,Facebook!$A:$A,0)),0)</f>
        <v>0</v>
      </c>
      <c r="C132" s="21" t="n">
        <f aca="false">IFERROR(INDEX(Instagram!$F:$F,MATCH($A132,Instagram!$A:$A,0)),0)</f>
        <v>0</v>
      </c>
      <c r="D132" s="21" t="n">
        <f aca="false">B132+C132</f>
        <v>0</v>
      </c>
      <c r="E132" s="21" t="n">
        <f aca="false">IFERROR(INDEX(Facebook!$E:$E,MATCH($A132,Facebook!$A:$A,0)),0)</f>
        <v>0</v>
      </c>
      <c r="F132" s="21" t="n">
        <f aca="false">IFERROR(INDEX(Instagram!$E:$E,MATCH($A132,Instagram!$A:$A,0)),0)</f>
        <v>0</v>
      </c>
      <c r="G132" s="21" t="n">
        <f aca="false">E132+F132</f>
        <v>0</v>
      </c>
      <c r="H132" s="21" t="n">
        <f aca="false">IFERROR(INDEX(Website!$B:$B,MATCH($A132,Website!$A:$A,0)),0)</f>
        <v>0</v>
      </c>
      <c r="I132" s="21" t="n">
        <f aca="false">IFERROR(INDEX(Airbnb!$C:$C,MATCH($A132,Airbnb!$A:$A,0)),0)</f>
        <v>0</v>
      </c>
      <c r="J132" s="21" t="n">
        <f aca="false">H132+I132</f>
        <v>0</v>
      </c>
      <c r="K132" s="21" t="n">
        <f aca="false">IFERROR(INDEX(Airbnb!$D:$D,MATCH($A132,Airbnb!$A:$A,0)),0)</f>
        <v>0</v>
      </c>
      <c r="L132" s="21" t="n">
        <f aca="false">IFERROR(INDEX(Airbnb!$E:$E,MATCH($A132,Airbnb!$A:$A,0)),0)</f>
        <v>0</v>
      </c>
      <c r="M132" s="22" t="n">
        <f aca="false">IFERROR(INDEX(Airbnb!$G:$G,MATCH($A132,Airbnb!$A:$A,0)),0)</f>
        <v>0</v>
      </c>
    </row>
    <row r="133" customFormat="false" ht="15" hidden="false" customHeight="true" outlineLevel="0" collapsed="false">
      <c r="A133" s="23" t="n">
        <f aca="false">Facebook!A132</f>
        <v>46563</v>
      </c>
      <c r="B133" s="24" t="n">
        <f aca="false">IFERROR(INDEX(Facebook!$F:$F,MATCH($A133,Facebook!$A:$A,0)),0)</f>
        <v>0</v>
      </c>
      <c r="C133" s="24" t="n">
        <f aca="false">IFERROR(INDEX(Instagram!$F:$F,MATCH($A133,Instagram!$A:$A,0)),0)</f>
        <v>0</v>
      </c>
      <c r="D133" s="24" t="n">
        <f aca="false">B133+C133</f>
        <v>0</v>
      </c>
      <c r="E133" s="24" t="n">
        <f aca="false">IFERROR(INDEX(Facebook!$E:$E,MATCH($A133,Facebook!$A:$A,0)),0)</f>
        <v>0</v>
      </c>
      <c r="F133" s="24" t="n">
        <f aca="false">IFERROR(INDEX(Instagram!$E:$E,MATCH($A133,Instagram!$A:$A,0)),0)</f>
        <v>0</v>
      </c>
      <c r="G133" s="24" t="n">
        <f aca="false">E133+F133</f>
        <v>0</v>
      </c>
      <c r="H133" s="24" t="n">
        <f aca="false">IFERROR(INDEX(Website!$B:$B,MATCH($A133,Website!$A:$A,0)),0)</f>
        <v>0</v>
      </c>
      <c r="I133" s="24" t="n">
        <f aca="false">IFERROR(INDEX(Airbnb!$C:$C,MATCH($A133,Airbnb!$A:$A,0)),0)</f>
        <v>0</v>
      </c>
      <c r="J133" s="24" t="n">
        <f aca="false">H133+I133</f>
        <v>0</v>
      </c>
      <c r="K133" s="24" t="n">
        <f aca="false">IFERROR(INDEX(Airbnb!$D:$D,MATCH($A133,Airbnb!$A:$A,0)),0)</f>
        <v>0</v>
      </c>
      <c r="L133" s="24" t="n">
        <f aca="false">IFERROR(INDEX(Airbnb!$E:$E,MATCH($A133,Airbnb!$A:$A,0)),0)</f>
        <v>0</v>
      </c>
      <c r="M133" s="25" t="n">
        <f aca="false">IFERROR(INDEX(Airbnb!$G:$G,MATCH($A133,Airbnb!$A:$A,0)),0)</f>
        <v>0</v>
      </c>
    </row>
    <row r="134" customFormat="false" ht="15" hidden="false" customHeight="true" outlineLevel="0" collapsed="false">
      <c r="A134" s="20" t="n">
        <f aca="false">Facebook!A133</f>
        <v>46570</v>
      </c>
      <c r="B134" s="21" t="n">
        <f aca="false">IFERROR(INDEX(Facebook!$F:$F,MATCH($A134,Facebook!$A:$A,0)),0)</f>
        <v>0</v>
      </c>
      <c r="C134" s="21" t="n">
        <f aca="false">IFERROR(INDEX(Instagram!$F:$F,MATCH($A134,Instagram!$A:$A,0)),0)</f>
        <v>0</v>
      </c>
      <c r="D134" s="21" t="n">
        <f aca="false">B134+C134</f>
        <v>0</v>
      </c>
      <c r="E134" s="21" t="n">
        <f aca="false">IFERROR(INDEX(Facebook!$E:$E,MATCH($A134,Facebook!$A:$A,0)),0)</f>
        <v>0</v>
      </c>
      <c r="F134" s="21" t="n">
        <f aca="false">IFERROR(INDEX(Instagram!$E:$E,MATCH($A134,Instagram!$A:$A,0)),0)</f>
        <v>0</v>
      </c>
      <c r="G134" s="21" t="n">
        <f aca="false">E134+F134</f>
        <v>0</v>
      </c>
      <c r="H134" s="21" t="n">
        <f aca="false">IFERROR(INDEX(Website!$B:$B,MATCH($A134,Website!$A:$A,0)),0)</f>
        <v>0</v>
      </c>
      <c r="I134" s="21" t="n">
        <f aca="false">IFERROR(INDEX(Airbnb!$C:$C,MATCH($A134,Airbnb!$A:$A,0)),0)</f>
        <v>0</v>
      </c>
      <c r="J134" s="21" t="n">
        <f aca="false">H134+I134</f>
        <v>0</v>
      </c>
      <c r="K134" s="21" t="n">
        <f aca="false">IFERROR(INDEX(Airbnb!$D:$D,MATCH($A134,Airbnb!$A:$A,0)),0)</f>
        <v>0</v>
      </c>
      <c r="L134" s="21" t="n">
        <f aca="false">IFERROR(INDEX(Airbnb!$E:$E,MATCH($A134,Airbnb!$A:$A,0)),0)</f>
        <v>0</v>
      </c>
      <c r="M134" s="22" t="n">
        <f aca="false">IFERROR(INDEX(Airbnb!$G:$G,MATCH($A134,Airbnb!$A:$A,0)),0)</f>
        <v>0</v>
      </c>
    </row>
    <row r="135" customFormat="false" ht="15" hidden="false" customHeight="true" outlineLevel="0" collapsed="false">
      <c r="A135" s="23" t="n">
        <f aca="false">Facebook!A134</f>
        <v>46577</v>
      </c>
      <c r="B135" s="24" t="n">
        <f aca="false">IFERROR(INDEX(Facebook!$F:$F,MATCH($A135,Facebook!$A:$A,0)),0)</f>
        <v>0</v>
      </c>
      <c r="C135" s="24" t="n">
        <f aca="false">IFERROR(INDEX(Instagram!$F:$F,MATCH($A135,Instagram!$A:$A,0)),0)</f>
        <v>0</v>
      </c>
      <c r="D135" s="24" t="n">
        <f aca="false">B135+C135</f>
        <v>0</v>
      </c>
      <c r="E135" s="24" t="n">
        <f aca="false">IFERROR(INDEX(Facebook!$E:$E,MATCH($A135,Facebook!$A:$A,0)),0)</f>
        <v>0</v>
      </c>
      <c r="F135" s="24" t="n">
        <f aca="false">IFERROR(INDEX(Instagram!$E:$E,MATCH($A135,Instagram!$A:$A,0)),0)</f>
        <v>0</v>
      </c>
      <c r="G135" s="24" t="n">
        <f aca="false">E135+F135</f>
        <v>0</v>
      </c>
      <c r="H135" s="24" t="n">
        <f aca="false">IFERROR(INDEX(Website!$B:$B,MATCH($A135,Website!$A:$A,0)),0)</f>
        <v>0</v>
      </c>
      <c r="I135" s="24" t="n">
        <f aca="false">IFERROR(INDEX(Airbnb!$C:$C,MATCH($A135,Airbnb!$A:$A,0)),0)</f>
        <v>0</v>
      </c>
      <c r="J135" s="24" t="n">
        <f aca="false">H135+I135</f>
        <v>0</v>
      </c>
      <c r="K135" s="24" t="n">
        <f aca="false">IFERROR(INDEX(Airbnb!$D:$D,MATCH($A135,Airbnb!$A:$A,0)),0)</f>
        <v>0</v>
      </c>
      <c r="L135" s="24" t="n">
        <f aca="false">IFERROR(INDEX(Airbnb!$E:$E,MATCH($A135,Airbnb!$A:$A,0)),0)</f>
        <v>0</v>
      </c>
      <c r="M135" s="25" t="n">
        <f aca="false">IFERROR(INDEX(Airbnb!$G:$G,MATCH($A135,Airbnb!$A:$A,0)),0)</f>
        <v>0</v>
      </c>
    </row>
    <row r="136" customFormat="false" ht="15" hidden="false" customHeight="true" outlineLevel="0" collapsed="false">
      <c r="A136" s="20" t="n">
        <f aca="false">Facebook!A135</f>
        <v>46584</v>
      </c>
      <c r="B136" s="21" t="n">
        <f aca="false">IFERROR(INDEX(Facebook!$F:$F,MATCH($A136,Facebook!$A:$A,0)),0)</f>
        <v>0</v>
      </c>
      <c r="C136" s="21" t="n">
        <f aca="false">IFERROR(INDEX(Instagram!$F:$F,MATCH($A136,Instagram!$A:$A,0)),0)</f>
        <v>0</v>
      </c>
      <c r="D136" s="21" t="n">
        <f aca="false">B136+C136</f>
        <v>0</v>
      </c>
      <c r="E136" s="21" t="n">
        <f aca="false">IFERROR(INDEX(Facebook!$E:$E,MATCH($A136,Facebook!$A:$A,0)),0)</f>
        <v>0</v>
      </c>
      <c r="F136" s="21" t="n">
        <f aca="false">IFERROR(INDEX(Instagram!$E:$E,MATCH($A136,Instagram!$A:$A,0)),0)</f>
        <v>0</v>
      </c>
      <c r="G136" s="21" t="n">
        <f aca="false">E136+F136</f>
        <v>0</v>
      </c>
      <c r="H136" s="21" t="n">
        <f aca="false">IFERROR(INDEX(Website!$B:$B,MATCH($A136,Website!$A:$A,0)),0)</f>
        <v>0</v>
      </c>
      <c r="I136" s="21" t="n">
        <f aca="false">IFERROR(INDEX(Airbnb!$C:$C,MATCH($A136,Airbnb!$A:$A,0)),0)</f>
        <v>0</v>
      </c>
      <c r="J136" s="21" t="n">
        <f aca="false">H136+I136</f>
        <v>0</v>
      </c>
      <c r="K136" s="21" t="n">
        <f aca="false">IFERROR(INDEX(Airbnb!$D:$D,MATCH($A136,Airbnb!$A:$A,0)),0)</f>
        <v>0</v>
      </c>
      <c r="L136" s="21" t="n">
        <f aca="false">IFERROR(INDEX(Airbnb!$E:$E,MATCH($A136,Airbnb!$A:$A,0)),0)</f>
        <v>0</v>
      </c>
      <c r="M136" s="22" t="n">
        <f aca="false">IFERROR(INDEX(Airbnb!$G:$G,MATCH($A136,Airbnb!$A:$A,0)),0)</f>
        <v>0</v>
      </c>
    </row>
    <row r="137" customFormat="false" ht="15" hidden="false" customHeight="true" outlineLevel="0" collapsed="false">
      <c r="A137" s="23" t="n">
        <f aca="false">Facebook!A136</f>
        <v>46591</v>
      </c>
      <c r="B137" s="24" t="n">
        <f aca="false">IFERROR(INDEX(Facebook!$F:$F,MATCH($A137,Facebook!$A:$A,0)),0)</f>
        <v>0</v>
      </c>
      <c r="C137" s="24" t="n">
        <f aca="false">IFERROR(INDEX(Instagram!$F:$F,MATCH($A137,Instagram!$A:$A,0)),0)</f>
        <v>0</v>
      </c>
      <c r="D137" s="24" t="n">
        <f aca="false">B137+C137</f>
        <v>0</v>
      </c>
      <c r="E137" s="24" t="n">
        <f aca="false">IFERROR(INDEX(Facebook!$E:$E,MATCH($A137,Facebook!$A:$A,0)),0)</f>
        <v>0</v>
      </c>
      <c r="F137" s="24" t="n">
        <f aca="false">IFERROR(INDEX(Instagram!$E:$E,MATCH($A137,Instagram!$A:$A,0)),0)</f>
        <v>0</v>
      </c>
      <c r="G137" s="24" t="n">
        <f aca="false">E137+F137</f>
        <v>0</v>
      </c>
      <c r="H137" s="24" t="n">
        <f aca="false">IFERROR(INDEX(Website!$B:$B,MATCH($A137,Website!$A:$A,0)),0)</f>
        <v>0</v>
      </c>
      <c r="I137" s="24" t="n">
        <f aca="false">IFERROR(INDEX(Airbnb!$C:$C,MATCH($A137,Airbnb!$A:$A,0)),0)</f>
        <v>0</v>
      </c>
      <c r="J137" s="24" t="n">
        <f aca="false">H137+I137</f>
        <v>0</v>
      </c>
      <c r="K137" s="24" t="n">
        <f aca="false">IFERROR(INDEX(Airbnb!$D:$D,MATCH($A137,Airbnb!$A:$A,0)),0)</f>
        <v>0</v>
      </c>
      <c r="L137" s="24" t="n">
        <f aca="false">IFERROR(INDEX(Airbnb!$E:$E,MATCH($A137,Airbnb!$A:$A,0)),0)</f>
        <v>0</v>
      </c>
      <c r="M137" s="25" t="n">
        <f aca="false">IFERROR(INDEX(Airbnb!$G:$G,MATCH($A137,Airbnb!$A:$A,0)),0)</f>
        <v>0</v>
      </c>
    </row>
    <row r="138" customFormat="false" ht="15" hidden="false" customHeight="true" outlineLevel="0" collapsed="false">
      <c r="A138" s="20" t="n">
        <f aca="false">Facebook!A137</f>
        <v>46598</v>
      </c>
      <c r="B138" s="21" t="n">
        <f aca="false">IFERROR(INDEX(Facebook!$F:$F,MATCH($A138,Facebook!$A:$A,0)),0)</f>
        <v>0</v>
      </c>
      <c r="C138" s="21" t="n">
        <f aca="false">IFERROR(INDEX(Instagram!$F:$F,MATCH($A138,Instagram!$A:$A,0)),0)</f>
        <v>0</v>
      </c>
      <c r="D138" s="21" t="n">
        <f aca="false">B138+C138</f>
        <v>0</v>
      </c>
      <c r="E138" s="21" t="n">
        <f aca="false">IFERROR(INDEX(Facebook!$E:$E,MATCH($A138,Facebook!$A:$A,0)),0)</f>
        <v>0</v>
      </c>
      <c r="F138" s="21" t="n">
        <f aca="false">IFERROR(INDEX(Instagram!$E:$E,MATCH($A138,Instagram!$A:$A,0)),0)</f>
        <v>0</v>
      </c>
      <c r="G138" s="21" t="n">
        <f aca="false">E138+F138</f>
        <v>0</v>
      </c>
      <c r="H138" s="21" t="n">
        <f aca="false">IFERROR(INDEX(Website!$B:$B,MATCH($A138,Website!$A:$A,0)),0)</f>
        <v>0</v>
      </c>
      <c r="I138" s="21" t="n">
        <f aca="false">IFERROR(INDEX(Airbnb!$C:$C,MATCH($A138,Airbnb!$A:$A,0)),0)</f>
        <v>0</v>
      </c>
      <c r="J138" s="21" t="n">
        <f aca="false">H138+I138</f>
        <v>0</v>
      </c>
      <c r="K138" s="21" t="n">
        <f aca="false">IFERROR(INDEX(Airbnb!$D:$D,MATCH($A138,Airbnb!$A:$A,0)),0)</f>
        <v>0</v>
      </c>
      <c r="L138" s="21" t="n">
        <f aca="false">IFERROR(INDEX(Airbnb!$E:$E,MATCH($A138,Airbnb!$A:$A,0)),0)</f>
        <v>0</v>
      </c>
      <c r="M138" s="22" t="n">
        <f aca="false">IFERROR(INDEX(Airbnb!$G:$G,MATCH($A138,Airbnb!$A:$A,0)),0)</f>
        <v>0</v>
      </c>
    </row>
    <row r="139" customFormat="false" ht="15" hidden="false" customHeight="true" outlineLevel="0" collapsed="false">
      <c r="A139" s="23" t="n">
        <f aca="false">Facebook!A138</f>
        <v>46605</v>
      </c>
      <c r="B139" s="24" t="n">
        <f aca="false">IFERROR(INDEX(Facebook!$F:$F,MATCH($A139,Facebook!$A:$A,0)),0)</f>
        <v>0</v>
      </c>
      <c r="C139" s="24" t="n">
        <f aca="false">IFERROR(INDEX(Instagram!$F:$F,MATCH($A139,Instagram!$A:$A,0)),0)</f>
        <v>0</v>
      </c>
      <c r="D139" s="24" t="n">
        <f aca="false">B139+C139</f>
        <v>0</v>
      </c>
      <c r="E139" s="24" t="n">
        <f aca="false">IFERROR(INDEX(Facebook!$E:$E,MATCH($A139,Facebook!$A:$A,0)),0)</f>
        <v>0</v>
      </c>
      <c r="F139" s="24" t="n">
        <f aca="false">IFERROR(INDEX(Instagram!$E:$E,MATCH($A139,Instagram!$A:$A,0)),0)</f>
        <v>0</v>
      </c>
      <c r="G139" s="24" t="n">
        <f aca="false">E139+F139</f>
        <v>0</v>
      </c>
      <c r="H139" s="24" t="n">
        <f aca="false">IFERROR(INDEX(Website!$B:$B,MATCH($A139,Website!$A:$A,0)),0)</f>
        <v>0</v>
      </c>
      <c r="I139" s="24" t="n">
        <f aca="false">IFERROR(INDEX(Airbnb!$C:$C,MATCH($A139,Airbnb!$A:$A,0)),0)</f>
        <v>0</v>
      </c>
      <c r="J139" s="24" t="n">
        <f aca="false">H139+I139</f>
        <v>0</v>
      </c>
      <c r="K139" s="24" t="n">
        <f aca="false">IFERROR(INDEX(Airbnb!$D:$D,MATCH($A139,Airbnb!$A:$A,0)),0)</f>
        <v>0</v>
      </c>
      <c r="L139" s="24" t="n">
        <f aca="false">IFERROR(INDEX(Airbnb!$E:$E,MATCH($A139,Airbnb!$A:$A,0)),0)</f>
        <v>0</v>
      </c>
      <c r="M139" s="25" t="n">
        <f aca="false">IFERROR(INDEX(Airbnb!$G:$G,MATCH($A139,Airbnb!$A:$A,0)),0)</f>
        <v>0</v>
      </c>
    </row>
    <row r="140" customFormat="false" ht="15" hidden="false" customHeight="true" outlineLevel="0" collapsed="false">
      <c r="A140" s="20" t="n">
        <f aca="false">Facebook!A139</f>
        <v>46612</v>
      </c>
      <c r="B140" s="21" t="n">
        <f aca="false">IFERROR(INDEX(Facebook!$F:$F,MATCH($A140,Facebook!$A:$A,0)),0)</f>
        <v>0</v>
      </c>
      <c r="C140" s="21" t="n">
        <f aca="false">IFERROR(INDEX(Instagram!$F:$F,MATCH($A140,Instagram!$A:$A,0)),0)</f>
        <v>0</v>
      </c>
      <c r="D140" s="21" t="n">
        <f aca="false">B140+C140</f>
        <v>0</v>
      </c>
      <c r="E140" s="21" t="n">
        <f aca="false">IFERROR(INDEX(Facebook!$E:$E,MATCH($A140,Facebook!$A:$A,0)),0)</f>
        <v>0</v>
      </c>
      <c r="F140" s="21" t="n">
        <f aca="false">IFERROR(INDEX(Instagram!$E:$E,MATCH($A140,Instagram!$A:$A,0)),0)</f>
        <v>0</v>
      </c>
      <c r="G140" s="21" t="n">
        <f aca="false">E140+F140</f>
        <v>0</v>
      </c>
      <c r="H140" s="21" t="n">
        <f aca="false">IFERROR(INDEX(Website!$B:$B,MATCH($A140,Website!$A:$A,0)),0)</f>
        <v>0</v>
      </c>
      <c r="I140" s="21" t="n">
        <f aca="false">IFERROR(INDEX(Airbnb!$C:$C,MATCH($A140,Airbnb!$A:$A,0)),0)</f>
        <v>0</v>
      </c>
      <c r="J140" s="21" t="n">
        <f aca="false">H140+I140</f>
        <v>0</v>
      </c>
      <c r="K140" s="21" t="n">
        <f aca="false">IFERROR(INDEX(Airbnb!$D:$D,MATCH($A140,Airbnb!$A:$A,0)),0)</f>
        <v>0</v>
      </c>
      <c r="L140" s="21" t="n">
        <f aca="false">IFERROR(INDEX(Airbnb!$E:$E,MATCH($A140,Airbnb!$A:$A,0)),0)</f>
        <v>0</v>
      </c>
      <c r="M140" s="22" t="n">
        <f aca="false">IFERROR(INDEX(Airbnb!$G:$G,MATCH($A140,Airbnb!$A:$A,0)),0)</f>
        <v>0</v>
      </c>
    </row>
    <row r="141" customFormat="false" ht="15" hidden="false" customHeight="true" outlineLevel="0" collapsed="false">
      <c r="A141" s="23" t="n">
        <f aca="false">Facebook!A140</f>
        <v>46619</v>
      </c>
      <c r="B141" s="24" t="n">
        <f aca="false">IFERROR(INDEX(Facebook!$F:$F,MATCH($A141,Facebook!$A:$A,0)),0)</f>
        <v>0</v>
      </c>
      <c r="C141" s="24" t="n">
        <f aca="false">IFERROR(INDEX(Instagram!$F:$F,MATCH($A141,Instagram!$A:$A,0)),0)</f>
        <v>0</v>
      </c>
      <c r="D141" s="24" t="n">
        <f aca="false">B141+C141</f>
        <v>0</v>
      </c>
      <c r="E141" s="24" t="n">
        <f aca="false">IFERROR(INDEX(Facebook!$E:$E,MATCH($A141,Facebook!$A:$A,0)),0)</f>
        <v>0</v>
      </c>
      <c r="F141" s="24" t="n">
        <f aca="false">IFERROR(INDEX(Instagram!$E:$E,MATCH($A141,Instagram!$A:$A,0)),0)</f>
        <v>0</v>
      </c>
      <c r="G141" s="24" t="n">
        <f aca="false">E141+F141</f>
        <v>0</v>
      </c>
      <c r="H141" s="24" t="n">
        <f aca="false">IFERROR(INDEX(Website!$B:$B,MATCH($A141,Website!$A:$A,0)),0)</f>
        <v>0</v>
      </c>
      <c r="I141" s="24" t="n">
        <f aca="false">IFERROR(INDEX(Airbnb!$C:$C,MATCH($A141,Airbnb!$A:$A,0)),0)</f>
        <v>0</v>
      </c>
      <c r="J141" s="24" t="n">
        <f aca="false">H141+I141</f>
        <v>0</v>
      </c>
      <c r="K141" s="24" t="n">
        <f aca="false">IFERROR(INDEX(Airbnb!$D:$D,MATCH($A141,Airbnb!$A:$A,0)),0)</f>
        <v>0</v>
      </c>
      <c r="L141" s="24" t="n">
        <f aca="false">IFERROR(INDEX(Airbnb!$E:$E,MATCH($A141,Airbnb!$A:$A,0)),0)</f>
        <v>0</v>
      </c>
      <c r="M141" s="25" t="n">
        <f aca="false">IFERROR(INDEX(Airbnb!$G:$G,MATCH($A141,Airbnb!$A:$A,0)),0)</f>
        <v>0</v>
      </c>
    </row>
    <row r="142" customFormat="false" ht="15" hidden="false" customHeight="true" outlineLevel="0" collapsed="false">
      <c r="A142" s="20" t="n">
        <f aca="false">Facebook!A141</f>
        <v>46626</v>
      </c>
      <c r="B142" s="21" t="n">
        <f aca="false">IFERROR(INDEX(Facebook!$F:$F,MATCH($A142,Facebook!$A:$A,0)),0)</f>
        <v>0</v>
      </c>
      <c r="C142" s="21" t="n">
        <f aca="false">IFERROR(INDEX(Instagram!$F:$F,MATCH($A142,Instagram!$A:$A,0)),0)</f>
        <v>0</v>
      </c>
      <c r="D142" s="21" t="n">
        <f aca="false">B142+C142</f>
        <v>0</v>
      </c>
      <c r="E142" s="21" t="n">
        <f aca="false">IFERROR(INDEX(Facebook!$E:$E,MATCH($A142,Facebook!$A:$A,0)),0)</f>
        <v>0</v>
      </c>
      <c r="F142" s="21" t="n">
        <f aca="false">IFERROR(INDEX(Instagram!$E:$E,MATCH($A142,Instagram!$A:$A,0)),0)</f>
        <v>0</v>
      </c>
      <c r="G142" s="21" t="n">
        <f aca="false">E142+F142</f>
        <v>0</v>
      </c>
      <c r="H142" s="21" t="n">
        <f aca="false">IFERROR(INDEX(Website!$B:$B,MATCH($A142,Website!$A:$A,0)),0)</f>
        <v>0</v>
      </c>
      <c r="I142" s="21" t="n">
        <f aca="false">IFERROR(INDEX(Airbnb!$C:$C,MATCH($A142,Airbnb!$A:$A,0)),0)</f>
        <v>0</v>
      </c>
      <c r="J142" s="21" t="n">
        <f aca="false">H142+I142</f>
        <v>0</v>
      </c>
      <c r="K142" s="21" t="n">
        <f aca="false">IFERROR(INDEX(Airbnb!$D:$D,MATCH($A142,Airbnb!$A:$A,0)),0)</f>
        <v>0</v>
      </c>
      <c r="L142" s="21" t="n">
        <f aca="false">IFERROR(INDEX(Airbnb!$E:$E,MATCH($A142,Airbnb!$A:$A,0)),0)</f>
        <v>0</v>
      </c>
      <c r="M142" s="22" t="n">
        <f aca="false">IFERROR(INDEX(Airbnb!$G:$G,MATCH($A142,Airbnb!$A:$A,0)),0)</f>
        <v>0</v>
      </c>
    </row>
    <row r="143" customFormat="false" ht="15" hidden="false" customHeight="true" outlineLevel="0" collapsed="false">
      <c r="A143" s="23" t="n">
        <f aca="false">Facebook!A142</f>
        <v>46633</v>
      </c>
      <c r="B143" s="24" t="n">
        <f aca="false">IFERROR(INDEX(Facebook!$F:$F,MATCH($A143,Facebook!$A:$A,0)),0)</f>
        <v>0</v>
      </c>
      <c r="C143" s="24" t="n">
        <f aca="false">IFERROR(INDEX(Instagram!$F:$F,MATCH($A143,Instagram!$A:$A,0)),0)</f>
        <v>0</v>
      </c>
      <c r="D143" s="24" t="n">
        <f aca="false">B143+C143</f>
        <v>0</v>
      </c>
      <c r="E143" s="24" t="n">
        <f aca="false">IFERROR(INDEX(Facebook!$E:$E,MATCH($A143,Facebook!$A:$A,0)),0)</f>
        <v>0</v>
      </c>
      <c r="F143" s="24" t="n">
        <f aca="false">IFERROR(INDEX(Instagram!$E:$E,MATCH($A143,Instagram!$A:$A,0)),0)</f>
        <v>0</v>
      </c>
      <c r="G143" s="24" t="n">
        <f aca="false">E143+F143</f>
        <v>0</v>
      </c>
      <c r="H143" s="24" t="n">
        <f aca="false">IFERROR(INDEX(Website!$B:$B,MATCH($A143,Website!$A:$A,0)),0)</f>
        <v>0</v>
      </c>
      <c r="I143" s="24" t="n">
        <f aca="false">IFERROR(INDEX(Airbnb!$C:$C,MATCH($A143,Airbnb!$A:$A,0)),0)</f>
        <v>0</v>
      </c>
      <c r="J143" s="24" t="n">
        <f aca="false">H143+I143</f>
        <v>0</v>
      </c>
      <c r="K143" s="24" t="n">
        <f aca="false">IFERROR(INDEX(Airbnb!$D:$D,MATCH($A143,Airbnb!$A:$A,0)),0)</f>
        <v>0</v>
      </c>
      <c r="L143" s="24" t="n">
        <f aca="false">IFERROR(INDEX(Airbnb!$E:$E,MATCH($A143,Airbnb!$A:$A,0)),0)</f>
        <v>0</v>
      </c>
      <c r="M143" s="25" t="n">
        <f aca="false">IFERROR(INDEX(Airbnb!$G:$G,MATCH($A143,Airbnb!$A:$A,0)),0)</f>
        <v>0</v>
      </c>
    </row>
    <row r="144" customFormat="false" ht="15" hidden="false" customHeight="true" outlineLevel="0" collapsed="false">
      <c r="A144" s="20" t="n">
        <f aca="false">Facebook!A143</f>
        <v>46640</v>
      </c>
      <c r="B144" s="21" t="n">
        <f aca="false">IFERROR(INDEX(Facebook!$F:$F,MATCH($A144,Facebook!$A:$A,0)),0)</f>
        <v>0</v>
      </c>
      <c r="C144" s="21" t="n">
        <f aca="false">IFERROR(INDEX(Instagram!$F:$F,MATCH($A144,Instagram!$A:$A,0)),0)</f>
        <v>0</v>
      </c>
      <c r="D144" s="21" t="n">
        <f aca="false">B144+C144</f>
        <v>0</v>
      </c>
      <c r="E144" s="21" t="n">
        <f aca="false">IFERROR(INDEX(Facebook!$E:$E,MATCH($A144,Facebook!$A:$A,0)),0)</f>
        <v>0</v>
      </c>
      <c r="F144" s="21" t="n">
        <f aca="false">IFERROR(INDEX(Instagram!$E:$E,MATCH($A144,Instagram!$A:$A,0)),0)</f>
        <v>0</v>
      </c>
      <c r="G144" s="21" t="n">
        <f aca="false">E144+F144</f>
        <v>0</v>
      </c>
      <c r="H144" s="21" t="n">
        <f aca="false">IFERROR(INDEX(Website!$B:$B,MATCH($A144,Website!$A:$A,0)),0)</f>
        <v>0</v>
      </c>
      <c r="I144" s="21" t="n">
        <f aca="false">IFERROR(INDEX(Airbnb!$C:$C,MATCH($A144,Airbnb!$A:$A,0)),0)</f>
        <v>0</v>
      </c>
      <c r="J144" s="21" t="n">
        <f aca="false">H144+I144</f>
        <v>0</v>
      </c>
      <c r="K144" s="21" t="n">
        <f aca="false">IFERROR(INDEX(Airbnb!$D:$D,MATCH($A144,Airbnb!$A:$A,0)),0)</f>
        <v>0</v>
      </c>
      <c r="L144" s="21" t="n">
        <f aca="false">IFERROR(INDEX(Airbnb!$E:$E,MATCH($A144,Airbnb!$A:$A,0)),0)</f>
        <v>0</v>
      </c>
      <c r="M144" s="22" t="n">
        <f aca="false">IFERROR(INDEX(Airbnb!$G:$G,MATCH($A144,Airbnb!$A:$A,0)),0)</f>
        <v>0</v>
      </c>
    </row>
    <row r="145" customFormat="false" ht="15" hidden="false" customHeight="true" outlineLevel="0" collapsed="false">
      <c r="A145" s="23" t="n">
        <f aca="false">Facebook!A144</f>
        <v>46647</v>
      </c>
      <c r="B145" s="24" t="n">
        <f aca="false">IFERROR(INDEX(Facebook!$F:$F,MATCH($A145,Facebook!$A:$A,0)),0)</f>
        <v>0</v>
      </c>
      <c r="C145" s="24" t="n">
        <f aca="false">IFERROR(INDEX(Instagram!$F:$F,MATCH($A145,Instagram!$A:$A,0)),0)</f>
        <v>0</v>
      </c>
      <c r="D145" s="24" t="n">
        <f aca="false">B145+C145</f>
        <v>0</v>
      </c>
      <c r="E145" s="24" t="n">
        <f aca="false">IFERROR(INDEX(Facebook!$E:$E,MATCH($A145,Facebook!$A:$A,0)),0)</f>
        <v>0</v>
      </c>
      <c r="F145" s="24" t="n">
        <f aca="false">IFERROR(INDEX(Instagram!$E:$E,MATCH($A145,Instagram!$A:$A,0)),0)</f>
        <v>0</v>
      </c>
      <c r="G145" s="24" t="n">
        <f aca="false">E145+F145</f>
        <v>0</v>
      </c>
      <c r="H145" s="24" t="n">
        <f aca="false">IFERROR(INDEX(Website!$B:$B,MATCH($A145,Website!$A:$A,0)),0)</f>
        <v>0</v>
      </c>
      <c r="I145" s="24" t="n">
        <f aca="false">IFERROR(INDEX(Airbnb!$C:$C,MATCH($A145,Airbnb!$A:$A,0)),0)</f>
        <v>0</v>
      </c>
      <c r="J145" s="24" t="n">
        <f aca="false">H145+I145</f>
        <v>0</v>
      </c>
      <c r="K145" s="24" t="n">
        <f aca="false">IFERROR(INDEX(Airbnb!$D:$D,MATCH($A145,Airbnb!$A:$A,0)),0)</f>
        <v>0</v>
      </c>
      <c r="L145" s="24" t="n">
        <f aca="false">IFERROR(INDEX(Airbnb!$E:$E,MATCH($A145,Airbnb!$A:$A,0)),0)</f>
        <v>0</v>
      </c>
      <c r="M145" s="25" t="n">
        <f aca="false">IFERROR(INDEX(Airbnb!$G:$G,MATCH($A145,Airbnb!$A:$A,0)),0)</f>
        <v>0</v>
      </c>
    </row>
    <row r="146" customFormat="false" ht="15" hidden="false" customHeight="true" outlineLevel="0" collapsed="false">
      <c r="A146" s="20" t="n">
        <f aca="false">Facebook!A145</f>
        <v>46654</v>
      </c>
      <c r="B146" s="21" t="n">
        <f aca="false">IFERROR(INDEX(Facebook!$F:$F,MATCH($A146,Facebook!$A:$A,0)),0)</f>
        <v>0</v>
      </c>
      <c r="C146" s="21" t="n">
        <f aca="false">IFERROR(INDEX(Instagram!$F:$F,MATCH($A146,Instagram!$A:$A,0)),0)</f>
        <v>0</v>
      </c>
      <c r="D146" s="21" t="n">
        <f aca="false">B146+C146</f>
        <v>0</v>
      </c>
      <c r="E146" s="21" t="n">
        <f aca="false">IFERROR(INDEX(Facebook!$E:$E,MATCH($A146,Facebook!$A:$A,0)),0)</f>
        <v>0</v>
      </c>
      <c r="F146" s="21" t="n">
        <f aca="false">IFERROR(INDEX(Instagram!$E:$E,MATCH($A146,Instagram!$A:$A,0)),0)</f>
        <v>0</v>
      </c>
      <c r="G146" s="21" t="n">
        <f aca="false">E146+F146</f>
        <v>0</v>
      </c>
      <c r="H146" s="21" t="n">
        <f aca="false">IFERROR(INDEX(Website!$B:$B,MATCH($A146,Website!$A:$A,0)),0)</f>
        <v>0</v>
      </c>
      <c r="I146" s="21" t="n">
        <f aca="false">IFERROR(INDEX(Airbnb!$C:$C,MATCH($A146,Airbnb!$A:$A,0)),0)</f>
        <v>0</v>
      </c>
      <c r="J146" s="21" t="n">
        <f aca="false">H146+I146</f>
        <v>0</v>
      </c>
      <c r="K146" s="21" t="n">
        <f aca="false">IFERROR(INDEX(Airbnb!$D:$D,MATCH($A146,Airbnb!$A:$A,0)),0)</f>
        <v>0</v>
      </c>
      <c r="L146" s="21" t="n">
        <f aca="false">IFERROR(INDEX(Airbnb!$E:$E,MATCH($A146,Airbnb!$A:$A,0)),0)</f>
        <v>0</v>
      </c>
      <c r="M146" s="22" t="n">
        <f aca="false">IFERROR(INDEX(Airbnb!$G:$G,MATCH($A146,Airbnb!$A:$A,0)),0)</f>
        <v>0</v>
      </c>
    </row>
    <row r="147" customFormat="false" ht="15" hidden="false" customHeight="true" outlineLevel="0" collapsed="false">
      <c r="A147" s="23" t="n">
        <f aca="false">Facebook!A146</f>
        <v>46661</v>
      </c>
      <c r="B147" s="24" t="n">
        <f aca="false">IFERROR(INDEX(Facebook!$F:$F,MATCH($A147,Facebook!$A:$A,0)),0)</f>
        <v>0</v>
      </c>
      <c r="C147" s="24" t="n">
        <f aca="false">IFERROR(INDEX(Instagram!$F:$F,MATCH($A147,Instagram!$A:$A,0)),0)</f>
        <v>0</v>
      </c>
      <c r="D147" s="24" t="n">
        <f aca="false">B147+C147</f>
        <v>0</v>
      </c>
      <c r="E147" s="24" t="n">
        <f aca="false">IFERROR(INDEX(Facebook!$E:$E,MATCH($A147,Facebook!$A:$A,0)),0)</f>
        <v>0</v>
      </c>
      <c r="F147" s="24" t="n">
        <f aca="false">IFERROR(INDEX(Instagram!$E:$E,MATCH($A147,Instagram!$A:$A,0)),0)</f>
        <v>0</v>
      </c>
      <c r="G147" s="24" t="n">
        <f aca="false">E147+F147</f>
        <v>0</v>
      </c>
      <c r="H147" s="24" t="n">
        <f aca="false">IFERROR(INDEX(Website!$B:$B,MATCH($A147,Website!$A:$A,0)),0)</f>
        <v>0</v>
      </c>
      <c r="I147" s="24" t="n">
        <f aca="false">IFERROR(INDEX(Airbnb!$C:$C,MATCH($A147,Airbnb!$A:$A,0)),0)</f>
        <v>0</v>
      </c>
      <c r="J147" s="24" t="n">
        <f aca="false">H147+I147</f>
        <v>0</v>
      </c>
      <c r="K147" s="24" t="n">
        <f aca="false">IFERROR(INDEX(Airbnb!$D:$D,MATCH($A147,Airbnb!$A:$A,0)),0)</f>
        <v>0</v>
      </c>
      <c r="L147" s="24" t="n">
        <f aca="false">IFERROR(INDEX(Airbnb!$E:$E,MATCH($A147,Airbnb!$A:$A,0)),0)</f>
        <v>0</v>
      </c>
      <c r="M147" s="25" t="n">
        <f aca="false">IFERROR(INDEX(Airbnb!$G:$G,MATCH($A147,Airbnb!$A:$A,0)),0)</f>
        <v>0</v>
      </c>
    </row>
    <row r="148" customFormat="false" ht="15" hidden="false" customHeight="true" outlineLevel="0" collapsed="false">
      <c r="A148" s="20" t="n">
        <f aca="false">Facebook!A147</f>
        <v>46668</v>
      </c>
      <c r="B148" s="21" t="n">
        <f aca="false">IFERROR(INDEX(Facebook!$F:$F,MATCH($A148,Facebook!$A:$A,0)),0)</f>
        <v>0</v>
      </c>
      <c r="C148" s="21" t="n">
        <f aca="false">IFERROR(INDEX(Instagram!$F:$F,MATCH($A148,Instagram!$A:$A,0)),0)</f>
        <v>0</v>
      </c>
      <c r="D148" s="21" t="n">
        <f aca="false">B148+C148</f>
        <v>0</v>
      </c>
      <c r="E148" s="21" t="n">
        <f aca="false">IFERROR(INDEX(Facebook!$E:$E,MATCH($A148,Facebook!$A:$A,0)),0)</f>
        <v>0</v>
      </c>
      <c r="F148" s="21" t="n">
        <f aca="false">IFERROR(INDEX(Instagram!$E:$E,MATCH($A148,Instagram!$A:$A,0)),0)</f>
        <v>0</v>
      </c>
      <c r="G148" s="21" t="n">
        <f aca="false">E148+F148</f>
        <v>0</v>
      </c>
      <c r="H148" s="21" t="n">
        <f aca="false">IFERROR(INDEX(Website!$B:$B,MATCH($A148,Website!$A:$A,0)),0)</f>
        <v>0</v>
      </c>
      <c r="I148" s="21" t="n">
        <f aca="false">IFERROR(INDEX(Airbnb!$C:$C,MATCH($A148,Airbnb!$A:$A,0)),0)</f>
        <v>0</v>
      </c>
      <c r="J148" s="21" t="n">
        <f aca="false">H148+I148</f>
        <v>0</v>
      </c>
      <c r="K148" s="21" t="n">
        <f aca="false">IFERROR(INDEX(Airbnb!$D:$D,MATCH($A148,Airbnb!$A:$A,0)),0)</f>
        <v>0</v>
      </c>
      <c r="L148" s="21" t="n">
        <f aca="false">IFERROR(INDEX(Airbnb!$E:$E,MATCH($A148,Airbnb!$A:$A,0)),0)</f>
        <v>0</v>
      </c>
      <c r="M148" s="22" t="n">
        <f aca="false">IFERROR(INDEX(Airbnb!$G:$G,MATCH($A148,Airbnb!$A:$A,0)),0)</f>
        <v>0</v>
      </c>
    </row>
    <row r="149" customFormat="false" ht="15" hidden="false" customHeight="true" outlineLevel="0" collapsed="false">
      <c r="A149" s="23" t="n">
        <f aca="false">Facebook!A148</f>
        <v>46675</v>
      </c>
      <c r="B149" s="24" t="n">
        <f aca="false">IFERROR(INDEX(Facebook!$F:$F,MATCH($A149,Facebook!$A:$A,0)),0)</f>
        <v>0</v>
      </c>
      <c r="C149" s="24" t="n">
        <f aca="false">IFERROR(INDEX(Instagram!$F:$F,MATCH($A149,Instagram!$A:$A,0)),0)</f>
        <v>0</v>
      </c>
      <c r="D149" s="24" t="n">
        <f aca="false">B149+C149</f>
        <v>0</v>
      </c>
      <c r="E149" s="24" t="n">
        <f aca="false">IFERROR(INDEX(Facebook!$E:$E,MATCH($A149,Facebook!$A:$A,0)),0)</f>
        <v>0</v>
      </c>
      <c r="F149" s="24" t="n">
        <f aca="false">IFERROR(INDEX(Instagram!$E:$E,MATCH($A149,Instagram!$A:$A,0)),0)</f>
        <v>0</v>
      </c>
      <c r="G149" s="24" t="n">
        <f aca="false">E149+F149</f>
        <v>0</v>
      </c>
      <c r="H149" s="24" t="n">
        <f aca="false">IFERROR(INDEX(Website!$B:$B,MATCH($A149,Website!$A:$A,0)),0)</f>
        <v>0</v>
      </c>
      <c r="I149" s="24" t="n">
        <f aca="false">IFERROR(INDEX(Airbnb!$C:$C,MATCH($A149,Airbnb!$A:$A,0)),0)</f>
        <v>0</v>
      </c>
      <c r="J149" s="24" t="n">
        <f aca="false">H149+I149</f>
        <v>0</v>
      </c>
      <c r="K149" s="24" t="n">
        <f aca="false">IFERROR(INDEX(Airbnb!$D:$D,MATCH($A149,Airbnb!$A:$A,0)),0)</f>
        <v>0</v>
      </c>
      <c r="L149" s="24" t="n">
        <f aca="false">IFERROR(INDEX(Airbnb!$E:$E,MATCH($A149,Airbnb!$A:$A,0)),0)</f>
        <v>0</v>
      </c>
      <c r="M149" s="25" t="n">
        <f aca="false">IFERROR(INDEX(Airbnb!$G:$G,MATCH($A149,Airbnb!$A:$A,0)),0)</f>
        <v>0</v>
      </c>
    </row>
    <row r="150" customFormat="false" ht="15" hidden="false" customHeight="true" outlineLevel="0" collapsed="false">
      <c r="A150" s="20" t="n">
        <f aca="false">Facebook!A149</f>
        <v>46682</v>
      </c>
      <c r="B150" s="21" t="n">
        <f aca="false">IFERROR(INDEX(Facebook!$F:$F,MATCH($A150,Facebook!$A:$A,0)),0)</f>
        <v>0</v>
      </c>
      <c r="C150" s="21" t="n">
        <f aca="false">IFERROR(INDEX(Instagram!$F:$F,MATCH($A150,Instagram!$A:$A,0)),0)</f>
        <v>0</v>
      </c>
      <c r="D150" s="21" t="n">
        <f aca="false">B150+C150</f>
        <v>0</v>
      </c>
      <c r="E150" s="21" t="n">
        <f aca="false">IFERROR(INDEX(Facebook!$E:$E,MATCH($A150,Facebook!$A:$A,0)),0)</f>
        <v>0</v>
      </c>
      <c r="F150" s="21" t="n">
        <f aca="false">IFERROR(INDEX(Instagram!$E:$E,MATCH($A150,Instagram!$A:$A,0)),0)</f>
        <v>0</v>
      </c>
      <c r="G150" s="21" t="n">
        <f aca="false">E150+F150</f>
        <v>0</v>
      </c>
      <c r="H150" s="21" t="n">
        <f aca="false">IFERROR(INDEX(Website!$B:$B,MATCH($A150,Website!$A:$A,0)),0)</f>
        <v>0</v>
      </c>
      <c r="I150" s="21" t="n">
        <f aca="false">IFERROR(INDEX(Airbnb!$C:$C,MATCH($A150,Airbnb!$A:$A,0)),0)</f>
        <v>0</v>
      </c>
      <c r="J150" s="21" t="n">
        <f aca="false">H150+I150</f>
        <v>0</v>
      </c>
      <c r="K150" s="21" t="n">
        <f aca="false">IFERROR(INDEX(Airbnb!$D:$D,MATCH($A150,Airbnb!$A:$A,0)),0)</f>
        <v>0</v>
      </c>
      <c r="L150" s="21" t="n">
        <f aca="false">IFERROR(INDEX(Airbnb!$E:$E,MATCH($A150,Airbnb!$A:$A,0)),0)</f>
        <v>0</v>
      </c>
      <c r="M150" s="22" t="n">
        <f aca="false">IFERROR(INDEX(Airbnb!$G:$G,MATCH($A150,Airbnb!$A:$A,0)),0)</f>
        <v>0</v>
      </c>
    </row>
    <row r="151" customFormat="false" ht="15" hidden="false" customHeight="true" outlineLevel="0" collapsed="false">
      <c r="A151" s="23" t="n">
        <f aca="false">Facebook!A150</f>
        <v>46689</v>
      </c>
      <c r="B151" s="24" t="n">
        <f aca="false">IFERROR(INDEX(Facebook!$F:$F,MATCH($A151,Facebook!$A:$A,0)),0)</f>
        <v>0</v>
      </c>
      <c r="C151" s="24" t="n">
        <f aca="false">IFERROR(INDEX(Instagram!$F:$F,MATCH($A151,Instagram!$A:$A,0)),0)</f>
        <v>0</v>
      </c>
      <c r="D151" s="24" t="n">
        <f aca="false">B151+C151</f>
        <v>0</v>
      </c>
      <c r="E151" s="24" t="n">
        <f aca="false">IFERROR(INDEX(Facebook!$E:$E,MATCH($A151,Facebook!$A:$A,0)),0)</f>
        <v>0</v>
      </c>
      <c r="F151" s="24" t="n">
        <f aca="false">IFERROR(INDEX(Instagram!$E:$E,MATCH($A151,Instagram!$A:$A,0)),0)</f>
        <v>0</v>
      </c>
      <c r="G151" s="24" t="n">
        <f aca="false">E151+F151</f>
        <v>0</v>
      </c>
      <c r="H151" s="24" t="n">
        <f aca="false">IFERROR(INDEX(Website!$B:$B,MATCH($A151,Website!$A:$A,0)),0)</f>
        <v>0</v>
      </c>
      <c r="I151" s="24" t="n">
        <f aca="false">IFERROR(INDEX(Airbnb!$C:$C,MATCH($A151,Airbnb!$A:$A,0)),0)</f>
        <v>0</v>
      </c>
      <c r="J151" s="24" t="n">
        <f aca="false">H151+I151</f>
        <v>0</v>
      </c>
      <c r="K151" s="24" t="n">
        <f aca="false">IFERROR(INDEX(Airbnb!$D:$D,MATCH($A151,Airbnb!$A:$A,0)),0)</f>
        <v>0</v>
      </c>
      <c r="L151" s="24" t="n">
        <f aca="false">IFERROR(INDEX(Airbnb!$E:$E,MATCH($A151,Airbnb!$A:$A,0)),0)</f>
        <v>0</v>
      </c>
      <c r="M151" s="25" t="n">
        <f aca="false">IFERROR(INDEX(Airbnb!$G:$G,MATCH($A151,Airbnb!$A:$A,0)),0)</f>
        <v>0</v>
      </c>
    </row>
    <row r="152" customFormat="false" ht="15" hidden="false" customHeight="true" outlineLevel="0" collapsed="false">
      <c r="A152" s="20" t="n">
        <f aca="false">Facebook!A151</f>
        <v>46696</v>
      </c>
      <c r="B152" s="21" t="n">
        <f aca="false">IFERROR(INDEX(Facebook!$F:$F,MATCH($A152,Facebook!$A:$A,0)),0)</f>
        <v>0</v>
      </c>
      <c r="C152" s="21" t="n">
        <f aca="false">IFERROR(INDEX(Instagram!$F:$F,MATCH($A152,Instagram!$A:$A,0)),0)</f>
        <v>0</v>
      </c>
      <c r="D152" s="21" t="n">
        <f aca="false">B152+C152</f>
        <v>0</v>
      </c>
      <c r="E152" s="21" t="n">
        <f aca="false">IFERROR(INDEX(Facebook!$E:$E,MATCH($A152,Facebook!$A:$A,0)),0)</f>
        <v>0</v>
      </c>
      <c r="F152" s="21" t="n">
        <f aca="false">IFERROR(INDEX(Instagram!$E:$E,MATCH($A152,Instagram!$A:$A,0)),0)</f>
        <v>0</v>
      </c>
      <c r="G152" s="21" t="n">
        <f aca="false">E152+F152</f>
        <v>0</v>
      </c>
      <c r="H152" s="21" t="n">
        <f aca="false">IFERROR(INDEX(Website!$B:$B,MATCH($A152,Website!$A:$A,0)),0)</f>
        <v>0</v>
      </c>
      <c r="I152" s="21" t="n">
        <f aca="false">IFERROR(INDEX(Airbnb!$C:$C,MATCH($A152,Airbnb!$A:$A,0)),0)</f>
        <v>0</v>
      </c>
      <c r="J152" s="21" t="n">
        <f aca="false">H152+I152</f>
        <v>0</v>
      </c>
      <c r="K152" s="21" t="n">
        <f aca="false">IFERROR(INDEX(Airbnb!$D:$D,MATCH($A152,Airbnb!$A:$A,0)),0)</f>
        <v>0</v>
      </c>
      <c r="L152" s="21" t="n">
        <f aca="false">IFERROR(INDEX(Airbnb!$E:$E,MATCH($A152,Airbnb!$A:$A,0)),0)</f>
        <v>0</v>
      </c>
      <c r="M152" s="22" t="n">
        <f aca="false">IFERROR(INDEX(Airbnb!$G:$G,MATCH($A152,Airbnb!$A:$A,0)),0)</f>
        <v>0</v>
      </c>
    </row>
    <row r="153" customFormat="false" ht="15" hidden="false" customHeight="true" outlineLevel="0" collapsed="false">
      <c r="A153" s="23" t="n">
        <f aca="false">Facebook!A152</f>
        <v>46703</v>
      </c>
      <c r="B153" s="24" t="n">
        <f aca="false">IFERROR(INDEX(Facebook!$F:$F,MATCH($A153,Facebook!$A:$A,0)),0)</f>
        <v>0</v>
      </c>
      <c r="C153" s="24" t="n">
        <f aca="false">IFERROR(INDEX(Instagram!$F:$F,MATCH($A153,Instagram!$A:$A,0)),0)</f>
        <v>0</v>
      </c>
      <c r="D153" s="24" t="n">
        <f aca="false">B153+C153</f>
        <v>0</v>
      </c>
      <c r="E153" s="24" t="n">
        <f aca="false">IFERROR(INDEX(Facebook!$E:$E,MATCH($A153,Facebook!$A:$A,0)),0)</f>
        <v>0</v>
      </c>
      <c r="F153" s="24" t="n">
        <f aca="false">IFERROR(INDEX(Instagram!$E:$E,MATCH($A153,Instagram!$A:$A,0)),0)</f>
        <v>0</v>
      </c>
      <c r="G153" s="24" t="n">
        <f aca="false">E153+F153</f>
        <v>0</v>
      </c>
      <c r="H153" s="24" t="n">
        <f aca="false">IFERROR(INDEX(Website!$B:$B,MATCH($A153,Website!$A:$A,0)),0)</f>
        <v>0</v>
      </c>
      <c r="I153" s="24" t="n">
        <f aca="false">IFERROR(INDEX(Airbnb!$C:$C,MATCH($A153,Airbnb!$A:$A,0)),0)</f>
        <v>0</v>
      </c>
      <c r="J153" s="24" t="n">
        <f aca="false">H153+I153</f>
        <v>0</v>
      </c>
      <c r="K153" s="24" t="n">
        <f aca="false">IFERROR(INDEX(Airbnb!$D:$D,MATCH($A153,Airbnb!$A:$A,0)),0)</f>
        <v>0</v>
      </c>
      <c r="L153" s="24" t="n">
        <f aca="false">IFERROR(INDEX(Airbnb!$E:$E,MATCH($A153,Airbnb!$A:$A,0)),0)</f>
        <v>0</v>
      </c>
      <c r="M153" s="25" t="n">
        <f aca="false">IFERROR(INDEX(Airbnb!$G:$G,MATCH($A153,Airbnb!$A:$A,0)),0)</f>
        <v>0</v>
      </c>
    </row>
    <row r="154" customFormat="false" ht="15" hidden="false" customHeight="true" outlineLevel="0" collapsed="false">
      <c r="A154" s="20" t="n">
        <f aca="false">Facebook!A153</f>
        <v>46710</v>
      </c>
      <c r="B154" s="21" t="n">
        <f aca="false">IFERROR(INDEX(Facebook!$F:$F,MATCH($A154,Facebook!$A:$A,0)),0)</f>
        <v>0</v>
      </c>
      <c r="C154" s="21" t="n">
        <f aca="false">IFERROR(INDEX(Instagram!$F:$F,MATCH($A154,Instagram!$A:$A,0)),0)</f>
        <v>0</v>
      </c>
      <c r="D154" s="21" t="n">
        <f aca="false">B154+C154</f>
        <v>0</v>
      </c>
      <c r="E154" s="21" t="n">
        <f aca="false">IFERROR(INDEX(Facebook!$E:$E,MATCH($A154,Facebook!$A:$A,0)),0)</f>
        <v>0</v>
      </c>
      <c r="F154" s="21" t="n">
        <f aca="false">IFERROR(INDEX(Instagram!$E:$E,MATCH($A154,Instagram!$A:$A,0)),0)</f>
        <v>0</v>
      </c>
      <c r="G154" s="21" t="n">
        <f aca="false">E154+F154</f>
        <v>0</v>
      </c>
      <c r="H154" s="21" t="n">
        <f aca="false">IFERROR(INDEX(Website!$B:$B,MATCH($A154,Website!$A:$A,0)),0)</f>
        <v>0</v>
      </c>
      <c r="I154" s="21" t="n">
        <f aca="false">IFERROR(INDEX(Airbnb!$C:$C,MATCH($A154,Airbnb!$A:$A,0)),0)</f>
        <v>0</v>
      </c>
      <c r="J154" s="21" t="n">
        <f aca="false">H154+I154</f>
        <v>0</v>
      </c>
      <c r="K154" s="21" t="n">
        <f aca="false">IFERROR(INDEX(Airbnb!$D:$D,MATCH($A154,Airbnb!$A:$A,0)),0)</f>
        <v>0</v>
      </c>
      <c r="L154" s="21" t="n">
        <f aca="false">IFERROR(INDEX(Airbnb!$E:$E,MATCH($A154,Airbnb!$A:$A,0)),0)</f>
        <v>0</v>
      </c>
      <c r="M154" s="22" t="n">
        <f aca="false">IFERROR(INDEX(Airbnb!$G:$G,MATCH($A154,Airbnb!$A:$A,0)),0)</f>
        <v>0</v>
      </c>
    </row>
    <row r="155" customFormat="false" ht="15" hidden="false" customHeight="true" outlineLevel="0" collapsed="false">
      <c r="A155" s="23" t="n">
        <f aca="false">Facebook!A154</f>
        <v>46717</v>
      </c>
      <c r="B155" s="24" t="n">
        <f aca="false">IFERROR(INDEX(Facebook!$F:$F,MATCH($A155,Facebook!$A:$A,0)),0)</f>
        <v>0</v>
      </c>
      <c r="C155" s="24" t="n">
        <f aca="false">IFERROR(INDEX(Instagram!$F:$F,MATCH($A155,Instagram!$A:$A,0)),0)</f>
        <v>0</v>
      </c>
      <c r="D155" s="24" t="n">
        <f aca="false">B155+C155</f>
        <v>0</v>
      </c>
      <c r="E155" s="24" t="n">
        <f aca="false">IFERROR(INDEX(Facebook!$E:$E,MATCH($A155,Facebook!$A:$A,0)),0)</f>
        <v>0</v>
      </c>
      <c r="F155" s="24" t="n">
        <f aca="false">IFERROR(INDEX(Instagram!$E:$E,MATCH($A155,Instagram!$A:$A,0)),0)</f>
        <v>0</v>
      </c>
      <c r="G155" s="24" t="n">
        <f aca="false">E155+F155</f>
        <v>0</v>
      </c>
      <c r="H155" s="24" t="n">
        <f aca="false">IFERROR(INDEX(Website!$B:$B,MATCH($A155,Website!$A:$A,0)),0)</f>
        <v>0</v>
      </c>
      <c r="I155" s="24" t="n">
        <f aca="false">IFERROR(INDEX(Airbnb!$C:$C,MATCH($A155,Airbnb!$A:$A,0)),0)</f>
        <v>0</v>
      </c>
      <c r="J155" s="24" t="n">
        <f aca="false">H155+I155</f>
        <v>0</v>
      </c>
      <c r="K155" s="24" t="n">
        <f aca="false">IFERROR(INDEX(Airbnb!$D:$D,MATCH($A155,Airbnb!$A:$A,0)),0)</f>
        <v>0</v>
      </c>
      <c r="L155" s="24" t="n">
        <f aca="false">IFERROR(INDEX(Airbnb!$E:$E,MATCH($A155,Airbnb!$A:$A,0)),0)</f>
        <v>0</v>
      </c>
      <c r="M155" s="25" t="n">
        <f aca="false">IFERROR(INDEX(Airbnb!$G:$G,MATCH($A155,Airbnb!$A:$A,0)),0)</f>
        <v>0</v>
      </c>
    </row>
    <row r="156" customFormat="false" ht="15" hidden="false" customHeight="true" outlineLevel="0" collapsed="false">
      <c r="A156" s="20" t="n">
        <f aca="false">Facebook!A155</f>
        <v>46724</v>
      </c>
      <c r="B156" s="21" t="n">
        <f aca="false">IFERROR(INDEX(Facebook!$F:$F,MATCH($A156,Facebook!$A:$A,0)),0)</f>
        <v>0</v>
      </c>
      <c r="C156" s="21" t="n">
        <f aca="false">IFERROR(INDEX(Instagram!$F:$F,MATCH($A156,Instagram!$A:$A,0)),0)</f>
        <v>0</v>
      </c>
      <c r="D156" s="21" t="n">
        <f aca="false">B156+C156</f>
        <v>0</v>
      </c>
      <c r="E156" s="21" t="n">
        <f aca="false">IFERROR(INDEX(Facebook!$E:$E,MATCH($A156,Facebook!$A:$A,0)),0)</f>
        <v>0</v>
      </c>
      <c r="F156" s="21" t="n">
        <f aca="false">IFERROR(INDEX(Instagram!$E:$E,MATCH($A156,Instagram!$A:$A,0)),0)</f>
        <v>0</v>
      </c>
      <c r="G156" s="21" t="n">
        <f aca="false">E156+F156</f>
        <v>0</v>
      </c>
      <c r="H156" s="21" t="n">
        <f aca="false">IFERROR(INDEX(Website!$B:$B,MATCH($A156,Website!$A:$A,0)),0)</f>
        <v>0</v>
      </c>
      <c r="I156" s="21" t="n">
        <f aca="false">IFERROR(INDEX(Airbnb!$C:$C,MATCH($A156,Airbnb!$A:$A,0)),0)</f>
        <v>0</v>
      </c>
      <c r="J156" s="21" t="n">
        <f aca="false">H156+I156</f>
        <v>0</v>
      </c>
      <c r="K156" s="21" t="n">
        <f aca="false">IFERROR(INDEX(Airbnb!$D:$D,MATCH($A156,Airbnb!$A:$A,0)),0)</f>
        <v>0</v>
      </c>
      <c r="L156" s="21" t="n">
        <f aca="false">IFERROR(INDEX(Airbnb!$E:$E,MATCH($A156,Airbnb!$A:$A,0)),0)</f>
        <v>0</v>
      </c>
      <c r="M156" s="22" t="n">
        <f aca="false">IFERROR(INDEX(Airbnb!$G:$G,MATCH($A156,Airbnb!$A:$A,0)),0)</f>
        <v>0</v>
      </c>
    </row>
    <row r="157" customFormat="false" ht="15" hidden="false" customHeight="true" outlineLevel="0" collapsed="false">
      <c r="A157" s="23" t="n">
        <f aca="false">Facebook!A156</f>
        <v>46731</v>
      </c>
      <c r="B157" s="24" t="n">
        <f aca="false">IFERROR(INDEX(Facebook!$F:$F,MATCH($A157,Facebook!$A:$A,0)),0)</f>
        <v>0</v>
      </c>
      <c r="C157" s="24" t="n">
        <f aca="false">IFERROR(INDEX(Instagram!$F:$F,MATCH($A157,Instagram!$A:$A,0)),0)</f>
        <v>0</v>
      </c>
      <c r="D157" s="24" t="n">
        <f aca="false">B157+C157</f>
        <v>0</v>
      </c>
      <c r="E157" s="24" t="n">
        <f aca="false">IFERROR(INDEX(Facebook!$E:$E,MATCH($A157,Facebook!$A:$A,0)),0)</f>
        <v>0</v>
      </c>
      <c r="F157" s="24" t="n">
        <f aca="false">IFERROR(INDEX(Instagram!$E:$E,MATCH($A157,Instagram!$A:$A,0)),0)</f>
        <v>0</v>
      </c>
      <c r="G157" s="24" t="n">
        <f aca="false">E157+F157</f>
        <v>0</v>
      </c>
      <c r="H157" s="24" t="n">
        <f aca="false">IFERROR(INDEX(Website!$B:$B,MATCH($A157,Website!$A:$A,0)),0)</f>
        <v>0</v>
      </c>
      <c r="I157" s="24" t="n">
        <f aca="false">IFERROR(INDEX(Airbnb!$C:$C,MATCH($A157,Airbnb!$A:$A,0)),0)</f>
        <v>0</v>
      </c>
      <c r="J157" s="24" t="n">
        <f aca="false">H157+I157</f>
        <v>0</v>
      </c>
      <c r="K157" s="24" t="n">
        <f aca="false">IFERROR(INDEX(Airbnb!$D:$D,MATCH($A157,Airbnb!$A:$A,0)),0)</f>
        <v>0</v>
      </c>
      <c r="L157" s="24" t="n">
        <f aca="false">IFERROR(INDEX(Airbnb!$E:$E,MATCH($A157,Airbnb!$A:$A,0)),0)</f>
        <v>0</v>
      </c>
      <c r="M157" s="25" t="n">
        <f aca="false">IFERROR(INDEX(Airbnb!$G:$G,MATCH($A157,Airbnb!$A:$A,0)),0)</f>
        <v>0</v>
      </c>
    </row>
    <row r="158" customFormat="false" ht="15" hidden="false" customHeight="true" outlineLevel="0" collapsed="false">
      <c r="A158" s="20" t="n">
        <f aca="false">Facebook!A157</f>
        <v>46738</v>
      </c>
      <c r="B158" s="21" t="n">
        <f aca="false">IFERROR(INDEX(Facebook!$F:$F,MATCH($A158,Facebook!$A:$A,0)),0)</f>
        <v>0</v>
      </c>
      <c r="C158" s="21" t="n">
        <f aca="false">IFERROR(INDEX(Instagram!$F:$F,MATCH($A158,Instagram!$A:$A,0)),0)</f>
        <v>0</v>
      </c>
      <c r="D158" s="21" t="n">
        <f aca="false">B158+C158</f>
        <v>0</v>
      </c>
      <c r="E158" s="21" t="n">
        <f aca="false">IFERROR(INDEX(Facebook!$E:$E,MATCH($A158,Facebook!$A:$A,0)),0)</f>
        <v>0</v>
      </c>
      <c r="F158" s="21" t="n">
        <f aca="false">IFERROR(INDEX(Instagram!$E:$E,MATCH($A158,Instagram!$A:$A,0)),0)</f>
        <v>0</v>
      </c>
      <c r="G158" s="21" t="n">
        <f aca="false">E158+F158</f>
        <v>0</v>
      </c>
      <c r="H158" s="21" t="n">
        <f aca="false">IFERROR(INDEX(Website!$B:$B,MATCH($A158,Website!$A:$A,0)),0)</f>
        <v>0</v>
      </c>
      <c r="I158" s="21" t="n">
        <f aca="false">IFERROR(INDEX(Airbnb!$C:$C,MATCH($A158,Airbnb!$A:$A,0)),0)</f>
        <v>0</v>
      </c>
      <c r="J158" s="21" t="n">
        <f aca="false">H158+I158</f>
        <v>0</v>
      </c>
      <c r="K158" s="21" t="n">
        <f aca="false">IFERROR(INDEX(Airbnb!$D:$D,MATCH($A158,Airbnb!$A:$A,0)),0)</f>
        <v>0</v>
      </c>
      <c r="L158" s="21" t="n">
        <f aca="false">IFERROR(INDEX(Airbnb!$E:$E,MATCH($A158,Airbnb!$A:$A,0)),0)</f>
        <v>0</v>
      </c>
      <c r="M158" s="22" t="n">
        <f aca="false">IFERROR(INDEX(Airbnb!$G:$G,MATCH($A158,Airbnb!$A:$A,0)),0)</f>
        <v>0</v>
      </c>
    </row>
    <row r="159" customFormat="false" ht="15" hidden="false" customHeight="true" outlineLevel="0" collapsed="false">
      <c r="A159" s="23" t="n">
        <f aca="false">Facebook!A158</f>
        <v>46745</v>
      </c>
      <c r="B159" s="24" t="n">
        <f aca="false">IFERROR(INDEX(Facebook!$F:$F,MATCH($A159,Facebook!$A:$A,0)),0)</f>
        <v>0</v>
      </c>
      <c r="C159" s="24" t="n">
        <f aca="false">IFERROR(INDEX(Instagram!$F:$F,MATCH($A159,Instagram!$A:$A,0)),0)</f>
        <v>0</v>
      </c>
      <c r="D159" s="24" t="n">
        <f aca="false">B159+C159</f>
        <v>0</v>
      </c>
      <c r="E159" s="24" t="n">
        <f aca="false">IFERROR(INDEX(Facebook!$E:$E,MATCH($A159,Facebook!$A:$A,0)),0)</f>
        <v>0</v>
      </c>
      <c r="F159" s="24" t="n">
        <f aca="false">IFERROR(INDEX(Instagram!$E:$E,MATCH($A159,Instagram!$A:$A,0)),0)</f>
        <v>0</v>
      </c>
      <c r="G159" s="24" t="n">
        <f aca="false">E159+F159</f>
        <v>0</v>
      </c>
      <c r="H159" s="24" t="n">
        <f aca="false">IFERROR(INDEX(Website!$B:$B,MATCH($A159,Website!$A:$A,0)),0)</f>
        <v>0</v>
      </c>
      <c r="I159" s="24" t="n">
        <f aca="false">IFERROR(INDEX(Airbnb!$C:$C,MATCH($A159,Airbnb!$A:$A,0)),0)</f>
        <v>0</v>
      </c>
      <c r="J159" s="24" t="n">
        <f aca="false">H159+I159</f>
        <v>0</v>
      </c>
      <c r="K159" s="24" t="n">
        <f aca="false">IFERROR(INDEX(Airbnb!$D:$D,MATCH($A159,Airbnb!$A:$A,0)),0)</f>
        <v>0</v>
      </c>
      <c r="L159" s="24" t="n">
        <f aca="false">IFERROR(INDEX(Airbnb!$E:$E,MATCH($A159,Airbnb!$A:$A,0)),0)</f>
        <v>0</v>
      </c>
      <c r="M159" s="25" t="n">
        <f aca="false">IFERROR(INDEX(Airbnb!$G:$G,MATCH($A159,Airbnb!$A:$A,0)),0)</f>
        <v>0</v>
      </c>
    </row>
    <row r="160" customFormat="false" ht="15" hidden="false" customHeight="true" outlineLevel="0" collapsed="false">
      <c r="A160" s="20" t="n">
        <f aca="false">Facebook!A159</f>
        <v>46752</v>
      </c>
      <c r="B160" s="21" t="n">
        <f aca="false">IFERROR(INDEX(Facebook!$F:$F,MATCH($A160,Facebook!$A:$A,0)),0)</f>
        <v>0</v>
      </c>
      <c r="C160" s="21" t="n">
        <f aca="false">IFERROR(INDEX(Instagram!$F:$F,MATCH($A160,Instagram!$A:$A,0)),0)</f>
        <v>0</v>
      </c>
      <c r="D160" s="21" t="n">
        <f aca="false">B160+C160</f>
        <v>0</v>
      </c>
      <c r="E160" s="21" t="n">
        <f aca="false">IFERROR(INDEX(Facebook!$E:$E,MATCH($A160,Facebook!$A:$A,0)),0)</f>
        <v>0</v>
      </c>
      <c r="F160" s="21" t="n">
        <f aca="false">IFERROR(INDEX(Instagram!$E:$E,MATCH($A160,Instagram!$A:$A,0)),0)</f>
        <v>0</v>
      </c>
      <c r="G160" s="21" t="n">
        <f aca="false">E160+F160</f>
        <v>0</v>
      </c>
      <c r="H160" s="21" t="n">
        <f aca="false">IFERROR(INDEX(Website!$B:$B,MATCH($A160,Website!$A:$A,0)),0)</f>
        <v>0</v>
      </c>
      <c r="I160" s="21" t="n">
        <f aca="false">IFERROR(INDEX(Airbnb!$C:$C,MATCH($A160,Airbnb!$A:$A,0)),0)</f>
        <v>0</v>
      </c>
      <c r="J160" s="21" t="n">
        <f aca="false">H160+I160</f>
        <v>0</v>
      </c>
      <c r="K160" s="21" t="n">
        <f aca="false">IFERROR(INDEX(Airbnb!$D:$D,MATCH($A160,Airbnb!$A:$A,0)),0)</f>
        <v>0</v>
      </c>
      <c r="L160" s="21" t="n">
        <f aca="false">IFERROR(INDEX(Airbnb!$E:$E,MATCH($A160,Airbnb!$A:$A,0)),0)</f>
        <v>0</v>
      </c>
      <c r="M160" s="22" t="n">
        <f aca="false">IFERROR(INDEX(Airbnb!$G:$G,MATCH($A160,Airbnb!$A:$A,0)),0)</f>
        <v>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0"/>
    <col collapsed="false" customWidth="true" hidden="false" outlineLevel="0" max="3" min="3" style="1" width="3"/>
  </cols>
  <sheetData>
    <row r="2" customFormat="false" ht="24" hidden="false" customHeight="true" outlineLevel="0" collapsed="false">
      <c r="B2" s="26" t="s">
        <v>37</v>
      </c>
    </row>
    <row r="3" customFormat="false" ht="15" hidden="false" customHeight="true" outlineLevel="0" collapsed="false">
      <c r="B3" s="27" t="s">
        <v>38</v>
      </c>
    </row>
    <row r="6" customFormat="false" ht="15" hidden="false" customHeight="true" outlineLevel="0" collapsed="false">
      <c r="B6" s="28" t="s">
        <v>39</v>
      </c>
    </row>
    <row r="7" customFormat="false" ht="45.75" hidden="false" customHeight="true" outlineLevel="0" collapsed="false">
      <c r="B7" s="28" t="s">
        <v>40</v>
      </c>
    </row>
    <row r="8" customFormat="false" ht="34.5" hidden="false" customHeight="true" outlineLevel="0" collapsed="false">
      <c r="B8" s="28" t="s">
        <v>41</v>
      </c>
    </row>
    <row r="9" customFormat="false" ht="23.25" hidden="false" customHeight="true" outlineLevel="0" collapsed="false">
      <c r="B9" s="28" t="s">
        <v>42</v>
      </c>
    </row>
    <row r="11" customFormat="false" ht="15" hidden="false" customHeight="true" outlineLevel="0" collapsed="false">
      <c r="B11" s="29" t="s">
        <v>43</v>
      </c>
    </row>
    <row r="12" customFormat="false" ht="15" hidden="false" customHeight="true" outlineLevel="0" collapsed="false">
      <c r="B12" s="28" t="s">
        <v>44</v>
      </c>
    </row>
    <row r="13" customFormat="false" ht="23.25" hidden="false" customHeight="true" outlineLevel="0" collapsed="false">
      <c r="B13" s="28" t="s">
        <v>45</v>
      </c>
    </row>
    <row r="14" customFormat="false" ht="15" hidden="false" customHeight="true" outlineLevel="0" collapsed="false">
      <c r="B14" s="28" t="s">
        <v>46</v>
      </c>
    </row>
    <row r="15" customFormat="false" ht="15" hidden="false" customHeight="true" outlineLevel="0" collapsed="false">
      <c r="B15" s="28" t="s">
        <v>47</v>
      </c>
    </row>
    <row r="16" customFormat="false" ht="15" hidden="false" customHeight="true" outlineLevel="0" collapsed="false">
      <c r="B16" s="28" t="s">
        <v>48</v>
      </c>
    </row>
    <row r="17" customFormat="false" ht="23.25" hidden="false" customHeight="true" outlineLevel="0" collapsed="false">
      <c r="B17" s="28" t="s">
        <v>49</v>
      </c>
    </row>
    <row r="19" customFormat="false" ht="15" hidden="false" customHeight="true" outlineLevel="0" collapsed="false">
      <c r="B19" s="29" t="s">
        <v>50</v>
      </c>
    </row>
    <row r="20" customFormat="false" ht="23.25" hidden="false" customHeight="true" outlineLevel="0" collapsed="false">
      <c r="B20" s="28" t="s">
        <v>51</v>
      </c>
    </row>
    <row r="21" customFormat="false" ht="23.25" hidden="false" customHeight="true" outlineLevel="0" collapsed="false">
      <c r="B21" s="28" t="s">
        <v>52</v>
      </c>
    </row>
    <row r="22" customFormat="false" ht="23.25" hidden="false" customHeight="true" outlineLevel="0" collapsed="false">
      <c r="B22" s="28" t="s">
        <v>53</v>
      </c>
    </row>
    <row r="23" customFormat="false" ht="15" hidden="false" customHeight="true" outlineLevel="0" collapsed="false">
      <c r="B23" s="28" t="s">
        <v>54</v>
      </c>
    </row>
    <row r="24" customFormat="false" ht="15" hidden="false" customHeight="true" outlineLevel="0" collapsed="false">
      <c r="B24" s="29" t="s">
        <v>55</v>
      </c>
    </row>
    <row r="25" customFormat="false" ht="15" hidden="false" customHeight="true" outlineLevel="0" collapsed="false">
      <c r="B25" s="28" t="s">
        <v>56</v>
      </c>
    </row>
    <row r="26" customFormat="false" ht="15" hidden="false" customHeight="true" outlineLevel="0" collapsed="false">
      <c r="B26" s="28" t="s">
        <v>57</v>
      </c>
    </row>
    <row r="27" customFormat="false" ht="15" hidden="false" customHeight="true" outlineLevel="0" collapsed="false">
      <c r="B27" s="28" t="s">
        <v>58</v>
      </c>
    </row>
    <row r="28" customFormat="false" ht="15" hidden="false" customHeight="true" outlineLevel="0" collapsed="false">
      <c r="B28" s="28" t="s">
        <v>59</v>
      </c>
    </row>
    <row r="30" customFormat="false" ht="15" hidden="false" customHeight="true" outlineLevel="0" collapsed="false">
      <c r="B30" s="29" t="s">
        <v>60</v>
      </c>
    </row>
    <row r="31" customFormat="false" ht="15" hidden="false" customHeight="true" outlineLevel="0" collapsed="false">
      <c r="B31" s="28" t="s">
        <v>61</v>
      </c>
    </row>
    <row r="32" customFormat="false" ht="15" hidden="false" customHeight="true" outlineLevel="0" collapsed="false">
      <c r="B32" s="28" t="s">
        <v>62</v>
      </c>
    </row>
    <row r="33" customFormat="false" ht="23.25" hidden="false" customHeight="true" outlineLevel="0" collapsed="false">
      <c r="B33" s="28" t="s">
        <v>63</v>
      </c>
    </row>
    <row r="34" customFormat="false" ht="15" hidden="false" customHeight="true" outlineLevel="0" collapsed="false">
      <c r="B34" s="28" t="s">
        <v>64</v>
      </c>
    </row>
    <row r="35" customFormat="false" ht="34.5" hidden="false" customHeight="true" outlineLevel="0" collapsed="false">
      <c r="B35" s="28" t="s">
        <v>65</v>
      </c>
    </row>
    <row r="36" customFormat="false" ht="23.25" hidden="false" customHeight="true" outlineLevel="0" collapsed="false">
      <c r="B36" s="28" t="s">
        <v>66</v>
      </c>
    </row>
    <row r="38" customFormat="false" ht="15" hidden="false" customHeight="true" outlineLevel="0" collapsed="false">
      <c r="B38" s="29" t="s">
        <v>67</v>
      </c>
    </row>
    <row r="39" customFormat="false" ht="15" hidden="false" customHeight="true" outlineLevel="0" collapsed="false">
      <c r="B39" s="28" t="s">
        <v>68</v>
      </c>
    </row>
    <row r="40" customFormat="false" ht="15" hidden="false" customHeight="true" outlineLevel="0" collapsed="false">
      <c r="B40" s="28" t="s">
        <v>69</v>
      </c>
    </row>
    <row r="41" customFormat="false" ht="23.25" hidden="false" customHeight="true" outlineLevel="0" collapsed="false">
      <c r="B41" s="28" t="s">
        <v>70</v>
      </c>
    </row>
    <row r="42" customFormat="false" ht="15" hidden="false" customHeight="true" outlineLevel="0" collapsed="false">
      <c r="B42" s="2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9" min="7" style="0" width="15"/>
    <col collapsed="false" customWidth="true" hidden="false" outlineLevel="0" max="11" min="10" style="0" width="12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12"/>
  </cols>
  <sheetData>
    <row r="2" customFormat="false" ht="25.5" hidden="false" customHeight="true" outlineLevel="0" collapsed="false">
      <c r="B2" s="30" t="s">
        <v>72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4" customFormat="false" ht="15" hidden="false" customHeight="false" outlineLevel="0" collapsed="false">
      <c r="B4" s="31" t="s">
        <v>73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6" customFormat="false" ht="30" hidden="false" customHeight="true" outlineLevel="0" collapsed="false">
      <c r="B6" s="32" t="s">
        <v>74</v>
      </c>
      <c r="C6" s="32" t="s">
        <v>25</v>
      </c>
      <c r="D6" s="32" t="s">
        <v>75</v>
      </c>
      <c r="E6" s="32" t="s">
        <v>26</v>
      </c>
      <c r="F6" s="32" t="s">
        <v>76</v>
      </c>
      <c r="G6" s="32" t="s">
        <v>31</v>
      </c>
      <c r="H6" s="32" t="s">
        <v>77</v>
      </c>
      <c r="I6" s="32" t="s">
        <v>78</v>
      </c>
      <c r="J6" s="32" t="s">
        <v>79</v>
      </c>
      <c r="K6" s="32" t="s">
        <v>32</v>
      </c>
      <c r="L6" s="32" t="s">
        <v>80</v>
      </c>
      <c r="M6" s="32" t="s">
        <v>81</v>
      </c>
      <c r="N6" s="32" t="s">
        <v>36</v>
      </c>
      <c r="O6" s="32" t="s">
        <v>82</v>
      </c>
      <c r="P6" s="32" t="s">
        <v>83</v>
      </c>
      <c r="Q6" s="32" t="s">
        <v>84</v>
      </c>
    </row>
    <row r="7" customFormat="false" ht="15" hidden="false" customHeight="false" outlineLevel="0" collapsed="false">
      <c r="B7" s="33" t="str">
        <f aca="false">'Monthly Summary'!A4</f>
        <v>Jan 2025</v>
      </c>
      <c r="C7" s="34" t="n">
        <f aca="false">'Monthly Summary'!B4</f>
        <v>12099</v>
      </c>
      <c r="D7" s="35" t="n">
        <v>0</v>
      </c>
      <c r="E7" s="34" t="n">
        <f aca="false">'Monthly Summary'!F4</f>
        <v>101015</v>
      </c>
      <c r="F7" s="35" t="n">
        <v>0</v>
      </c>
      <c r="G7" s="34" t="n">
        <f aca="false">'Monthly Summary'!J4</f>
        <v>980</v>
      </c>
      <c r="H7" s="35" t="n">
        <v>0</v>
      </c>
      <c r="I7" s="35" t="n">
        <f aca="false">IFERROR('Monthly Summary'!C4/C7,0)</f>
        <v>0.165964129266882</v>
      </c>
      <c r="J7" s="35" t="n">
        <f aca="false">IFERROR('Monthly Summary'!G4/E7,0)</f>
        <v>0.00169281789833193</v>
      </c>
      <c r="K7" s="34" t="n">
        <f aca="false">'Monthly Summary'!M4</f>
        <v>56</v>
      </c>
      <c r="L7" s="34" t="n">
        <f aca="false">'Monthly Summary'!O4</f>
        <v>0</v>
      </c>
      <c r="M7" s="35" t="n">
        <f aca="false">IFERROR(L7/K7,0)</f>
        <v>0</v>
      </c>
      <c r="N7" s="36" t="n">
        <f aca="false">'Monthly Summary'!P4</f>
        <v>0</v>
      </c>
      <c r="O7" s="36" t="n">
        <f aca="false">IFERROR(N7/L7,0)</f>
        <v>0</v>
      </c>
      <c r="P7" s="35" t="n">
        <f aca="false">'Monthly Summary'!Q4</f>
        <v>0</v>
      </c>
      <c r="Q7" s="34" t="n">
        <f aca="false">IFERROR((C7+E7)/L7,0)</f>
        <v>0</v>
      </c>
    </row>
    <row r="8" customFormat="false" ht="15" hidden="false" customHeight="false" outlineLevel="0" collapsed="false">
      <c r="B8" s="37" t="str">
        <f aca="false">'Monthly Summary'!A5</f>
        <v>Feb 2025</v>
      </c>
      <c r="C8" s="38" t="n">
        <f aca="false">'Monthly Summary'!B5</f>
        <v>283</v>
      </c>
      <c r="D8" s="39" t="n">
        <f aca="false">IFERROR((C8-C7)/C7,0)</f>
        <v>-0.976609637160096</v>
      </c>
      <c r="E8" s="38" t="n">
        <f aca="false">'Monthly Summary'!F5</f>
        <v>628</v>
      </c>
      <c r="F8" s="39" t="n">
        <f aca="false">IFERROR((E8-E7)/E7,0)</f>
        <v>-0.993783101519576</v>
      </c>
      <c r="G8" s="38" t="n">
        <f aca="false">'Monthly Summary'!J5</f>
        <v>1480</v>
      </c>
      <c r="H8" s="39" t="n">
        <f aca="false">IFERROR((G8-G7)/G7,0)</f>
        <v>0.510204081632653</v>
      </c>
      <c r="I8" s="39" t="n">
        <f aca="false">IFERROR('Monthly Summary'!C5/C8,0)</f>
        <v>0.0424028268551237</v>
      </c>
      <c r="J8" s="39" t="n">
        <f aca="false">IFERROR('Monthly Summary'!G5/E8,0)</f>
        <v>0.00955414012738854</v>
      </c>
      <c r="K8" s="38" t="n">
        <f aca="false">'Monthly Summary'!M5</f>
        <v>36</v>
      </c>
      <c r="L8" s="38" t="n">
        <f aca="false">'Monthly Summary'!O5</f>
        <v>0</v>
      </c>
      <c r="M8" s="39" t="n">
        <f aca="false">IFERROR(L8/K8,0)</f>
        <v>0</v>
      </c>
      <c r="N8" s="40" t="n">
        <f aca="false">'Monthly Summary'!P5</f>
        <v>0</v>
      </c>
      <c r="O8" s="40" t="n">
        <f aca="false">IFERROR(N8/L8,0)</f>
        <v>0</v>
      </c>
      <c r="P8" s="39" t="n">
        <f aca="false">'Monthly Summary'!Q5</f>
        <v>0</v>
      </c>
      <c r="Q8" s="38" t="n">
        <f aca="false">IFERROR((C8+E8)/L8,0)</f>
        <v>0</v>
      </c>
    </row>
    <row r="9" customFormat="false" ht="15" hidden="false" customHeight="false" outlineLevel="0" collapsed="false">
      <c r="B9" s="33" t="str">
        <f aca="false">'Monthly Summary'!A6</f>
        <v>Mar 2025</v>
      </c>
      <c r="C9" s="34" t="n">
        <f aca="false">'Monthly Summary'!B6</f>
        <v>2562</v>
      </c>
      <c r="D9" s="35" t="n">
        <f aca="false">IFERROR((C9-C8)/C8,0)</f>
        <v>8.05300353356891</v>
      </c>
      <c r="E9" s="34" t="n">
        <f aca="false">'Monthly Summary'!F6</f>
        <v>647</v>
      </c>
      <c r="F9" s="35" t="n">
        <f aca="false">IFERROR((E9-E8)/E8,0)</f>
        <v>0.0302547770700637</v>
      </c>
      <c r="G9" s="34" t="n">
        <f aca="false">'Monthly Summary'!J6</f>
        <v>2453</v>
      </c>
      <c r="H9" s="35" t="n">
        <f aca="false">IFERROR((G9-G8)/G8,0)</f>
        <v>0.657432432432432</v>
      </c>
      <c r="I9" s="35" t="n">
        <f aca="false">IFERROR('Monthly Summary'!C6/C9,0)</f>
        <v>0.0120999219359875</v>
      </c>
      <c r="J9" s="35" t="n">
        <f aca="false">IFERROR('Monthly Summary'!G6/E9,0)</f>
        <v>0.0587326120556414</v>
      </c>
      <c r="K9" s="34" t="n">
        <f aca="false">'Monthly Summary'!M6</f>
        <v>31</v>
      </c>
      <c r="L9" s="34" t="n">
        <f aca="false">'Monthly Summary'!O6</f>
        <v>1</v>
      </c>
      <c r="M9" s="35" t="n">
        <f aca="false">IFERROR(L9/K9,0)</f>
        <v>0.032258064516129</v>
      </c>
      <c r="N9" s="36" t="n">
        <f aca="false">'Monthly Summary'!P6</f>
        <v>200</v>
      </c>
      <c r="O9" s="36" t="n">
        <f aca="false">IFERROR(N9/L9,0)</f>
        <v>200</v>
      </c>
      <c r="P9" s="35" t="n">
        <f aca="false">'Monthly Summary'!Q6</f>
        <v>0.25</v>
      </c>
      <c r="Q9" s="34" t="n">
        <f aca="false">IFERROR((C9+E9)/L9,0)</f>
        <v>3209</v>
      </c>
    </row>
    <row r="10" customFormat="false" ht="15" hidden="false" customHeight="false" outlineLevel="0" collapsed="false">
      <c r="B10" s="37" t="str">
        <f aca="false">'Monthly Summary'!A7</f>
        <v>Apr 2025</v>
      </c>
      <c r="C10" s="38" t="n">
        <f aca="false">'Monthly Summary'!B7</f>
        <v>3542</v>
      </c>
      <c r="D10" s="39" t="n">
        <f aca="false">IFERROR((C10-C9)/C9,0)</f>
        <v>0.382513661202186</v>
      </c>
      <c r="E10" s="38" t="n">
        <f aca="false">'Monthly Summary'!F7</f>
        <v>594</v>
      </c>
      <c r="F10" s="39" t="n">
        <f aca="false">IFERROR((E10-E9)/E9,0)</f>
        <v>-0.0819165378670788</v>
      </c>
      <c r="G10" s="38" t="n">
        <f aca="false">'Monthly Summary'!J7</f>
        <v>4590</v>
      </c>
      <c r="H10" s="39" t="n">
        <f aca="false">IFERROR((G10-G9)/G9,0)</f>
        <v>0.871178149205055</v>
      </c>
      <c r="I10" s="39" t="n">
        <f aca="false">IFERROR('Monthly Summary'!C7/C10,0)</f>
        <v>0.0717108977978543</v>
      </c>
      <c r="J10" s="39" t="n">
        <f aca="false">IFERROR('Monthly Summary'!G7/E10,0)</f>
        <v>0.388888888888889</v>
      </c>
      <c r="K10" s="38" t="n">
        <f aca="false">'Monthly Summary'!M7</f>
        <v>41</v>
      </c>
      <c r="L10" s="38" t="n">
        <f aca="false">'Monthly Summary'!O7</f>
        <v>1</v>
      </c>
      <c r="M10" s="39" t="n">
        <f aca="false">IFERROR(L10/K10,0)</f>
        <v>0.024390243902439</v>
      </c>
      <c r="N10" s="40" t="n">
        <f aca="false">'Monthly Summary'!P7</f>
        <v>226</v>
      </c>
      <c r="O10" s="40" t="n">
        <f aca="false">IFERROR(N10/L10,0)</f>
        <v>226</v>
      </c>
      <c r="P10" s="39" t="n">
        <f aca="false">'Monthly Summary'!Q7</f>
        <v>0.110619469025</v>
      </c>
      <c r="Q10" s="38" t="n">
        <f aca="false">IFERROR((C10+E10)/L10,0)</f>
        <v>4136</v>
      </c>
    </row>
    <row r="11" customFormat="false" ht="15" hidden="false" customHeight="false" outlineLevel="0" collapsed="false">
      <c r="B11" s="33" t="str">
        <f aca="false">'Monthly Summary'!A8</f>
        <v>May 2025</v>
      </c>
      <c r="C11" s="34" t="n">
        <f aca="false">'Monthly Summary'!B8</f>
        <v>1572</v>
      </c>
      <c r="D11" s="35" t="n">
        <f aca="false">IFERROR((C11-C10)/C10,0)</f>
        <v>-0.556182947487295</v>
      </c>
      <c r="E11" s="34" t="n">
        <f aca="false">'Monthly Summary'!F8</f>
        <v>610</v>
      </c>
      <c r="F11" s="35" t="n">
        <f aca="false">IFERROR((E11-E10)/E10,0)</f>
        <v>0.0269360269360269</v>
      </c>
      <c r="G11" s="34" t="n">
        <f aca="false">'Monthly Summary'!J8</f>
        <v>9814</v>
      </c>
      <c r="H11" s="35" t="n">
        <f aca="false">IFERROR((G11-G10)/G10,0)</f>
        <v>1.13812636165577</v>
      </c>
      <c r="I11" s="35" t="n">
        <f aca="false">IFERROR('Monthly Summary'!C8/C11,0)</f>
        <v>0.0470737913486005</v>
      </c>
      <c r="J11" s="35" t="n">
        <f aca="false">IFERROR('Monthly Summary'!G8/E11,0)</f>
        <v>0.060655737704918</v>
      </c>
      <c r="K11" s="34" t="n">
        <f aca="false">'Monthly Summary'!M8</f>
        <v>51</v>
      </c>
      <c r="L11" s="34" t="n">
        <f aca="false">'Monthly Summary'!O8</f>
        <v>0</v>
      </c>
      <c r="M11" s="35" t="n">
        <f aca="false">IFERROR(L11/K11,0)</f>
        <v>0</v>
      </c>
      <c r="N11" s="36" t="n">
        <f aca="false">'Monthly Summary'!P8</f>
        <v>0</v>
      </c>
      <c r="O11" s="36" t="n">
        <f aca="false">IFERROR(N11/L11,0)</f>
        <v>0</v>
      </c>
      <c r="P11" s="35" t="n">
        <f aca="false">'Monthly Summary'!Q8</f>
        <v>0</v>
      </c>
      <c r="Q11" s="34" t="n">
        <f aca="false">IFERROR((C11+E11)/L11,0)</f>
        <v>0</v>
      </c>
    </row>
    <row r="12" customFormat="false" ht="15" hidden="false" customHeight="false" outlineLevel="0" collapsed="false">
      <c r="B12" s="37" t="str">
        <f aca="false">'Monthly Summary'!A9</f>
        <v>Jun 2025</v>
      </c>
      <c r="C12" s="38" t="n">
        <f aca="false">'Monthly Summary'!B9</f>
        <v>195</v>
      </c>
      <c r="D12" s="39" t="n">
        <f aca="false">IFERROR((C12-C11)/C11,0)</f>
        <v>-0.875954198473283</v>
      </c>
      <c r="E12" s="38" t="n">
        <f aca="false">'Monthly Summary'!F9</f>
        <v>327</v>
      </c>
      <c r="F12" s="39" t="n">
        <f aca="false">IFERROR((E12-E11)/E11,0)</f>
        <v>-0.463934426229508</v>
      </c>
      <c r="G12" s="38" t="n">
        <f aca="false">'Monthly Summary'!J9</f>
        <v>9195</v>
      </c>
      <c r="H12" s="39" t="n">
        <f aca="false">IFERROR((G12-G11)/G11,0)</f>
        <v>-0.0630731607907072</v>
      </c>
      <c r="I12" s="39" t="n">
        <f aca="false">IFERROR('Monthly Summary'!C9/C12,0)</f>
        <v>0.374358974358974</v>
      </c>
      <c r="J12" s="39" t="n">
        <f aca="false">IFERROR('Monthly Summary'!G9/E12,0)</f>
        <v>0.171253822629969</v>
      </c>
      <c r="K12" s="38" t="n">
        <f aca="false">'Monthly Summary'!M9</f>
        <v>18</v>
      </c>
      <c r="L12" s="38" t="n">
        <f aca="false">'Monthly Summary'!O9</f>
        <v>0</v>
      </c>
      <c r="M12" s="39" t="n">
        <f aca="false">IFERROR(L12/K12,0)</f>
        <v>0</v>
      </c>
      <c r="N12" s="40" t="n">
        <f aca="false">'Monthly Summary'!P9</f>
        <v>0</v>
      </c>
      <c r="O12" s="40" t="n">
        <f aca="false">IFERROR(N12/L12,0)</f>
        <v>0</v>
      </c>
      <c r="P12" s="39" t="n">
        <f aca="false">'Monthly Summary'!Q9</f>
        <v>0</v>
      </c>
      <c r="Q12" s="38" t="n">
        <f aca="false">IFERROR((C12+E12)/L12,0)</f>
        <v>0</v>
      </c>
    </row>
    <row r="13" customFormat="false" ht="15" hidden="false" customHeight="false" outlineLevel="0" collapsed="false">
      <c r="B13" s="33" t="str">
        <f aca="false">'Monthly Summary'!A10</f>
        <v>Jul 2025</v>
      </c>
      <c r="C13" s="34" t="n">
        <f aca="false">'Monthly Summary'!B10</f>
        <v>132</v>
      </c>
      <c r="D13" s="35" t="n">
        <f aca="false">IFERROR((C13-C12)/C12,0)</f>
        <v>-0.323076923076923</v>
      </c>
      <c r="E13" s="34" t="n">
        <f aca="false">'Monthly Summary'!F10</f>
        <v>183</v>
      </c>
      <c r="F13" s="35" t="n">
        <f aca="false">IFERROR((E13-E12)/E12,0)</f>
        <v>-0.440366972477064</v>
      </c>
      <c r="G13" s="34" t="n">
        <f aca="false">'Monthly Summary'!J10</f>
        <v>9622</v>
      </c>
      <c r="H13" s="35" t="n">
        <f aca="false">IFERROR((G13-G12)/G12,0)</f>
        <v>0.0464382816748233</v>
      </c>
      <c r="I13" s="35" t="n">
        <f aca="false">IFERROR('Monthly Summary'!C10/C13,0)</f>
        <v>0.992424242424242</v>
      </c>
      <c r="J13" s="35" t="n">
        <f aca="false">IFERROR('Monthly Summary'!G10/E13,0)</f>
        <v>0.251366120218579</v>
      </c>
      <c r="K13" s="34" t="n">
        <f aca="false">'Monthly Summary'!M10</f>
        <v>45</v>
      </c>
      <c r="L13" s="34" t="n">
        <f aca="false">'Monthly Summary'!O10</f>
        <v>2</v>
      </c>
      <c r="M13" s="35" t="n">
        <f aca="false">IFERROR(L13/K13,0)</f>
        <v>0.0444444444444444</v>
      </c>
      <c r="N13" s="36" t="n">
        <f aca="false">'Monthly Summary'!P10</f>
        <v>772</v>
      </c>
      <c r="O13" s="36" t="n">
        <f aca="false">IFERROR(N13/L13,0)</f>
        <v>386</v>
      </c>
      <c r="P13" s="35" t="n">
        <f aca="false">'Monthly Summary'!Q10</f>
        <v>0.19436364325</v>
      </c>
      <c r="Q13" s="34" t="n">
        <f aca="false">IFERROR((C13+E13)/L13,0)</f>
        <v>157.5</v>
      </c>
    </row>
    <row r="14" customFormat="false" ht="15" hidden="false" customHeight="false" outlineLevel="0" collapsed="false">
      <c r="B14" s="37" t="str">
        <f aca="false">'Monthly Summary'!A11</f>
        <v>Aug 2025</v>
      </c>
      <c r="C14" s="38" t="n">
        <f aca="false">'Monthly Summary'!B11</f>
        <v>103</v>
      </c>
      <c r="D14" s="39" t="n">
        <f aca="false">IFERROR((C14-C13)/C13,0)</f>
        <v>-0.21969696969697</v>
      </c>
      <c r="E14" s="38" t="n">
        <f aca="false">'Monthly Summary'!F11</f>
        <v>131</v>
      </c>
      <c r="F14" s="39" t="n">
        <f aca="false">IFERROR((E14-E13)/E13,0)</f>
        <v>-0.284153005464481</v>
      </c>
      <c r="G14" s="38" t="n">
        <f aca="false">'Monthly Summary'!J11</f>
        <v>12527</v>
      </c>
      <c r="H14" s="39" t="n">
        <f aca="false">IFERROR((G14-G13)/G13,0)</f>
        <v>0.301912284348368</v>
      </c>
      <c r="I14" s="39" t="n">
        <f aca="false">IFERROR('Monthly Summary'!C11/C14,0)</f>
        <v>1.3495145631068</v>
      </c>
      <c r="J14" s="39" t="n">
        <f aca="false">IFERROR('Monthly Summary'!G11/E14,0)</f>
        <v>2.32824427480916</v>
      </c>
      <c r="K14" s="38" t="n">
        <f aca="false">'Monthly Summary'!M11</f>
        <v>51</v>
      </c>
      <c r="L14" s="38" t="n">
        <f aca="false">'Monthly Summary'!O11</f>
        <v>1</v>
      </c>
      <c r="M14" s="39" t="n">
        <f aca="false">IFERROR(L14/K14,0)</f>
        <v>0.0196078431372549</v>
      </c>
      <c r="N14" s="40" t="n">
        <f aca="false">'Monthly Summary'!P11</f>
        <v>891</v>
      </c>
      <c r="O14" s="40" t="n">
        <f aca="false">IFERROR(N14/L14,0)</f>
        <v>891</v>
      </c>
      <c r="P14" s="39" t="n">
        <f aca="false">'Monthly Summary'!Q11</f>
        <v>0.06734006734</v>
      </c>
      <c r="Q14" s="38" t="n">
        <f aca="false">IFERROR((C14+E14)/L14,0)</f>
        <v>234</v>
      </c>
    </row>
    <row r="15" customFormat="false" ht="15" hidden="false" customHeight="false" outlineLevel="0" collapsed="false">
      <c r="B15" s="33" t="str">
        <f aca="false">'Monthly Summary'!A12</f>
        <v>Sep 2025</v>
      </c>
      <c r="C15" s="34" t="n">
        <f aca="false">'Monthly Summary'!B12</f>
        <v>48</v>
      </c>
      <c r="D15" s="35" t="n">
        <f aca="false">IFERROR((C15-C14)/C14,0)</f>
        <v>-0.533980582524272</v>
      </c>
      <c r="E15" s="34" t="n">
        <f aca="false">'Monthly Summary'!F12</f>
        <v>489</v>
      </c>
      <c r="F15" s="35" t="n">
        <f aca="false">IFERROR((E15-E14)/E14,0)</f>
        <v>2.73282442748092</v>
      </c>
      <c r="G15" s="34" t="n">
        <f aca="false">'Monthly Summary'!J12</f>
        <v>10244</v>
      </c>
      <c r="H15" s="35" t="n">
        <f aca="false">IFERROR((G15-G14)/G14,0)</f>
        <v>-0.182246347888561</v>
      </c>
      <c r="I15" s="35" t="n">
        <f aca="false">IFERROR('Monthly Summary'!C12/C15,0)</f>
        <v>2.625</v>
      </c>
      <c r="J15" s="35" t="n">
        <f aca="false">IFERROR('Monthly Summary'!G12/E15,0)</f>
        <v>0.139059304703477</v>
      </c>
      <c r="K15" s="34" t="n">
        <f aca="false">'Monthly Summary'!M12</f>
        <v>29</v>
      </c>
      <c r="L15" s="34" t="n">
        <f aca="false">'Monthly Summary'!O12</f>
        <v>0</v>
      </c>
      <c r="M15" s="35" t="n">
        <f aca="false">IFERROR(L15/K15,0)</f>
        <v>0</v>
      </c>
      <c r="N15" s="36" t="n">
        <f aca="false">'Monthly Summary'!P12</f>
        <v>0</v>
      </c>
      <c r="O15" s="36" t="n">
        <f aca="false">IFERROR(N15/L15,0)</f>
        <v>0</v>
      </c>
      <c r="P15" s="35" t="n">
        <f aca="false">'Monthly Summary'!Q12</f>
        <v>0</v>
      </c>
      <c r="Q15" s="34" t="n">
        <f aca="false">IFERROR((C15+E15)/L15,0)</f>
        <v>0</v>
      </c>
    </row>
    <row r="16" customFormat="false" ht="15" hidden="false" customHeight="false" outlineLevel="0" collapsed="false">
      <c r="B16" s="37" t="str">
        <f aca="false">'Monthly Summary'!A13</f>
        <v>Oct 2025</v>
      </c>
      <c r="C16" s="38" t="n">
        <f aca="false">'Monthly Summary'!B13</f>
        <v>226</v>
      </c>
      <c r="D16" s="39" t="n">
        <f aca="false">IFERROR((C16-C15)/C15,0)</f>
        <v>3.70833333333333</v>
      </c>
      <c r="E16" s="38" t="n">
        <f aca="false">'Monthly Summary'!F13</f>
        <v>643</v>
      </c>
      <c r="F16" s="39" t="n">
        <f aca="false">IFERROR((E16-E15)/E15,0)</f>
        <v>0.314928425357873</v>
      </c>
      <c r="G16" s="38" t="n">
        <f aca="false">'Monthly Summary'!J13</f>
        <v>13080</v>
      </c>
      <c r="H16" s="39" t="n">
        <f aca="false">IFERROR((G16-G15)/G15,0)</f>
        <v>0.276844982428739</v>
      </c>
      <c r="I16" s="39" t="n">
        <f aca="false">IFERROR('Monthly Summary'!C13/C16,0)</f>
        <v>0.243362831858407</v>
      </c>
      <c r="J16" s="39" t="n">
        <f aca="false">IFERROR('Monthly Summary'!G13/E16,0)</f>
        <v>0.101088646967341</v>
      </c>
      <c r="K16" s="38" t="n">
        <f aca="false">'Monthly Summary'!M13</f>
        <v>37</v>
      </c>
      <c r="L16" s="38" t="n">
        <f aca="false">'Monthly Summary'!O13</f>
        <v>1</v>
      </c>
      <c r="M16" s="39" t="n">
        <f aca="false">IFERROR(L16/K16,0)</f>
        <v>0.027027027027027</v>
      </c>
      <c r="N16" s="40" t="n">
        <f aca="false">'Monthly Summary'!P13</f>
        <v>226</v>
      </c>
      <c r="O16" s="40" t="n">
        <f aca="false">IFERROR(N16/L16,0)</f>
        <v>226</v>
      </c>
      <c r="P16" s="39" t="n">
        <f aca="false">'Monthly Summary'!Q13</f>
        <v>0.08849557522</v>
      </c>
      <c r="Q16" s="38" t="n">
        <f aca="false">IFERROR((C16+E16)/L16,0)</f>
        <v>869</v>
      </c>
    </row>
    <row r="17" customFormat="false" ht="15" hidden="false" customHeight="false" outlineLevel="0" collapsed="false">
      <c r="B17" s="33" t="str">
        <f aca="false">'Monthly Summary'!A14</f>
        <v>Nov 2025</v>
      </c>
      <c r="C17" s="34" t="n">
        <f aca="false">'Monthly Summary'!B14</f>
        <v>384</v>
      </c>
      <c r="D17" s="35" t="n">
        <f aca="false">IFERROR((C17-C16)/C16,0)</f>
        <v>0.699115044247788</v>
      </c>
      <c r="E17" s="34" t="n">
        <f aca="false">'Monthly Summary'!F14</f>
        <v>497</v>
      </c>
      <c r="F17" s="35" t="n">
        <f aca="false">IFERROR((E17-E16)/E16,0)</f>
        <v>-0.22706065318818</v>
      </c>
      <c r="G17" s="34" t="n">
        <f aca="false">'Monthly Summary'!J14</f>
        <v>10297</v>
      </c>
      <c r="H17" s="35" t="n">
        <f aca="false">IFERROR((G17-G16)/G16,0)</f>
        <v>-0.212767584097859</v>
      </c>
      <c r="I17" s="35" t="n">
        <f aca="false">IFERROR('Monthly Summary'!C14/C17,0)</f>
        <v>0.0598958333333333</v>
      </c>
      <c r="J17" s="35" t="n">
        <f aca="false">IFERROR('Monthly Summary'!G14/E17,0)</f>
        <v>0.241448692152918</v>
      </c>
      <c r="K17" s="34" t="n">
        <f aca="false">'Monthly Summary'!M14</f>
        <v>45</v>
      </c>
      <c r="L17" s="34" t="n">
        <f aca="false">'Monthly Summary'!O14</f>
        <v>0</v>
      </c>
      <c r="M17" s="35" t="n">
        <f aca="false">IFERROR(L17/K17,0)</f>
        <v>0</v>
      </c>
      <c r="N17" s="36" t="n">
        <f aca="false">'Monthly Summary'!P14</f>
        <v>0</v>
      </c>
      <c r="O17" s="36" t="n">
        <f aca="false">IFERROR(N17/L17,0)</f>
        <v>0</v>
      </c>
      <c r="P17" s="35" t="n">
        <f aca="false">'Monthly Summary'!Q14</f>
        <v>0</v>
      </c>
      <c r="Q17" s="34" t="n">
        <f aca="false">IFERROR((C17+E17)/L17,0)</f>
        <v>0</v>
      </c>
    </row>
    <row r="18" customFormat="false" ht="15" hidden="false" customHeight="false" outlineLevel="0" collapsed="false">
      <c r="B18" s="37" t="str">
        <f aca="false">'Monthly Summary'!A15</f>
        <v>Dec 2025</v>
      </c>
      <c r="C18" s="38" t="n">
        <f aca="false">'Monthly Summary'!B15</f>
        <v>130</v>
      </c>
      <c r="D18" s="39" t="n">
        <f aca="false">IFERROR((C18-C17)/C17,0)</f>
        <v>-0.661458333333333</v>
      </c>
      <c r="E18" s="38" t="n">
        <f aca="false">'Monthly Summary'!F15</f>
        <v>154</v>
      </c>
      <c r="F18" s="39" t="n">
        <f aca="false">IFERROR((E18-E17)/E17,0)</f>
        <v>-0.690140845070423</v>
      </c>
      <c r="G18" s="38" t="n">
        <f aca="false">'Monthly Summary'!J15</f>
        <v>10498</v>
      </c>
      <c r="H18" s="39" t="n">
        <f aca="false">IFERROR((G18-G17)/G17,0)</f>
        <v>0.0195202486161018</v>
      </c>
      <c r="I18" s="39" t="n">
        <f aca="false">IFERROR('Monthly Summary'!C15/C18,0)</f>
        <v>0.130769230769231</v>
      </c>
      <c r="J18" s="39" t="n">
        <f aca="false">IFERROR('Monthly Summary'!G15/E18,0)</f>
        <v>0.857142857142857</v>
      </c>
      <c r="K18" s="38" t="n">
        <f aca="false">'Monthly Summary'!M15</f>
        <v>60</v>
      </c>
      <c r="L18" s="38" t="n">
        <f aca="false">'Monthly Summary'!O15</f>
        <v>0</v>
      </c>
      <c r="M18" s="39" t="n">
        <f aca="false">IFERROR(L18/K18,0)</f>
        <v>0</v>
      </c>
      <c r="N18" s="40" t="n">
        <f aca="false">'Monthly Summary'!P15</f>
        <v>0</v>
      </c>
      <c r="O18" s="40" t="n">
        <f aca="false">IFERROR(N18/L18,0)</f>
        <v>0</v>
      </c>
      <c r="P18" s="39" t="n">
        <f aca="false">'Monthly Summary'!Q15</f>
        <v>0</v>
      </c>
      <c r="Q18" s="38" t="n">
        <f aca="false">IFERROR((C18+E18)/L18,0)</f>
        <v>0</v>
      </c>
    </row>
    <row r="19" customFormat="false" ht="15" hidden="false" customHeight="false" outlineLevel="0" collapsed="false">
      <c r="B19" s="33" t="str">
        <f aca="false">'Monthly Summary'!A16</f>
        <v>Jan 2026</v>
      </c>
      <c r="C19" s="34" t="n">
        <f aca="false">'Monthly Summary'!B16</f>
        <v>123</v>
      </c>
      <c r="D19" s="35" t="n">
        <f aca="false">IFERROR((C19-C18)/C18,0)</f>
        <v>-0.0538461538461539</v>
      </c>
      <c r="E19" s="34" t="n">
        <f aca="false">'Monthly Summary'!F16</f>
        <v>155</v>
      </c>
      <c r="F19" s="35" t="n">
        <f aca="false">IFERROR((E19-E18)/E18,0)</f>
        <v>0.00649350649350649</v>
      </c>
      <c r="G19" s="34" t="n">
        <f aca="false">'Monthly Summary'!J16</f>
        <v>13190</v>
      </c>
      <c r="H19" s="35" t="n">
        <f aca="false">IFERROR((G19-G18)/G18,0)</f>
        <v>0.256429796151648</v>
      </c>
      <c r="I19" s="35" t="n">
        <f aca="false">IFERROR('Monthly Summary'!C16/C19,0)</f>
        <v>0.121951219512195</v>
      </c>
      <c r="J19" s="35" t="n">
        <f aca="false">IFERROR('Monthly Summary'!G16/E19,0)</f>
        <v>0.67741935483871</v>
      </c>
      <c r="K19" s="34" t="n">
        <f aca="false">'Monthly Summary'!M16</f>
        <v>60</v>
      </c>
      <c r="L19" s="34" t="n">
        <f aca="false">'Monthly Summary'!O16</f>
        <v>1</v>
      </c>
      <c r="M19" s="35" t="n">
        <f aca="false">IFERROR(L19/K19,0)</f>
        <v>0.0166666666666667</v>
      </c>
      <c r="N19" s="36" t="n">
        <f aca="false">'Monthly Summary'!P16</f>
        <v>361</v>
      </c>
      <c r="O19" s="36" t="n">
        <f aca="false">IFERROR(N19/L19,0)</f>
        <v>361</v>
      </c>
      <c r="P19" s="35" t="n">
        <f aca="false">'Monthly Summary'!Q16</f>
        <v>0.05540166204</v>
      </c>
      <c r="Q19" s="34" t="n">
        <f aca="false">IFERROR((C19+E19)/L19,0)</f>
        <v>278</v>
      </c>
    </row>
    <row r="20" customFormat="false" ht="15" hidden="false" customHeight="false" outlineLevel="0" collapsed="false">
      <c r="B20" s="37" t="str">
        <f aca="false">'Monthly Summary'!A17</f>
        <v>Feb 2026</v>
      </c>
      <c r="C20" s="38" t="n">
        <f aca="false">'Monthly Summary'!B17</f>
        <v>123</v>
      </c>
      <c r="D20" s="39" t="n">
        <f aca="false">IFERROR((C20-C19)/C19,0)</f>
        <v>0</v>
      </c>
      <c r="E20" s="38" t="n">
        <f aca="false">'Monthly Summary'!F17</f>
        <v>156</v>
      </c>
      <c r="F20" s="39" t="n">
        <f aca="false">IFERROR((E20-E19)/E19,0)</f>
        <v>0.00645161290322581</v>
      </c>
      <c r="G20" s="38" t="n">
        <f aca="false">'Monthly Summary'!J17</f>
        <v>11020</v>
      </c>
      <c r="H20" s="39" t="n">
        <f aca="false">IFERROR((G20-G19)/G19,0)</f>
        <v>-0.164518574677786</v>
      </c>
      <c r="I20" s="39" t="n">
        <f aca="false">IFERROR('Monthly Summary'!C17/C20,0)</f>
        <v>0.211382113821138</v>
      </c>
      <c r="J20" s="39" t="n">
        <f aca="false">IFERROR('Monthly Summary'!G17/E20,0)</f>
        <v>0.423076923076923</v>
      </c>
      <c r="K20" s="38" t="n">
        <f aca="false">'Monthly Summary'!M17</f>
        <v>30</v>
      </c>
      <c r="L20" s="38" t="n">
        <f aca="false">'Monthly Summary'!O17</f>
        <v>0</v>
      </c>
      <c r="M20" s="39" t="n">
        <f aca="false">IFERROR(L20/K20,0)</f>
        <v>0</v>
      </c>
      <c r="N20" s="40" t="n">
        <f aca="false">'Monthly Summary'!P17</f>
        <v>0</v>
      </c>
      <c r="O20" s="40" t="n">
        <f aca="false">IFERROR(N20/L20,0)</f>
        <v>0</v>
      </c>
      <c r="P20" s="39" t="n">
        <f aca="false">'Monthly Summary'!Q17</f>
        <v>0</v>
      </c>
      <c r="Q20" s="38" t="n">
        <f aca="false">IFERROR((C20+E20)/L20,0)</f>
        <v>0</v>
      </c>
    </row>
    <row r="21" customFormat="false" ht="15" hidden="false" customHeight="false" outlineLevel="0" collapsed="false">
      <c r="B21" s="33" t="str">
        <f aca="false">'Monthly Summary'!A18</f>
        <v>Mar 2026</v>
      </c>
      <c r="C21" s="34" t="n">
        <f aca="false">'Monthly Summary'!B18</f>
        <v>62</v>
      </c>
      <c r="D21" s="35" t="n">
        <f aca="false">IFERROR((C21-C20)/C20,0)</f>
        <v>-0.495934959349594</v>
      </c>
      <c r="E21" s="34" t="n">
        <f aca="false">'Monthly Summary'!F18</f>
        <v>113</v>
      </c>
      <c r="F21" s="35" t="n">
        <f aca="false">IFERROR((E21-E20)/E20,0)</f>
        <v>-0.275641025641026</v>
      </c>
      <c r="G21" s="34" t="n">
        <f aca="false">'Monthly Summary'!J18</f>
        <v>11436</v>
      </c>
      <c r="H21" s="35" t="n">
        <f aca="false">IFERROR((G21-G20)/G20,0)</f>
        <v>0.0377495462794918</v>
      </c>
      <c r="I21" s="35" t="n">
        <f aca="false">IFERROR('Monthly Summary'!C18/C21,0)</f>
        <v>0.693548387096774</v>
      </c>
      <c r="J21" s="35" t="n">
        <f aca="false">IFERROR('Monthly Summary'!G18/E21,0)</f>
        <v>1.00884955752212</v>
      </c>
      <c r="K21" s="34" t="n">
        <f aca="false">'Monthly Summary'!M18</f>
        <v>36</v>
      </c>
      <c r="L21" s="34" t="n">
        <f aca="false">'Monthly Summary'!O18</f>
        <v>0</v>
      </c>
      <c r="M21" s="35" t="n">
        <f aca="false">IFERROR(L21/K21,0)</f>
        <v>0</v>
      </c>
      <c r="N21" s="36" t="n">
        <f aca="false">'Monthly Summary'!P18</f>
        <v>0</v>
      </c>
      <c r="O21" s="36" t="n">
        <f aca="false">IFERROR(N21/L21,0)</f>
        <v>0</v>
      </c>
      <c r="P21" s="35" t="n">
        <f aca="false">'Monthly Summary'!Q18</f>
        <v>0</v>
      </c>
      <c r="Q21" s="34" t="n">
        <f aca="false">IFERROR((C21+E21)/L21,0)</f>
        <v>0</v>
      </c>
    </row>
    <row r="22" customFormat="false" ht="15" hidden="false" customHeight="false" outlineLevel="0" collapsed="false">
      <c r="B22" s="37" t="str">
        <f aca="false">'Monthly Summary'!A19</f>
        <v>Apr 2026</v>
      </c>
      <c r="C22" s="38" t="n">
        <f aca="false">'Monthly Summary'!B19</f>
        <v>104</v>
      </c>
      <c r="D22" s="39" t="n">
        <f aca="false">IFERROR((C22-C21)/C21,0)</f>
        <v>0.67741935483871</v>
      </c>
      <c r="E22" s="38" t="n">
        <f aca="false">'Monthly Summary'!F19</f>
        <v>89</v>
      </c>
      <c r="F22" s="39" t="n">
        <f aca="false">IFERROR((E22-E21)/E21,0)</f>
        <v>-0.212389380530973</v>
      </c>
      <c r="G22" s="38" t="n">
        <f aca="false">'Monthly Summary'!J19</f>
        <v>11852</v>
      </c>
      <c r="H22" s="39" t="n">
        <f aca="false">IFERROR((G22-G21)/G21,0)</f>
        <v>0.0363763553690101</v>
      </c>
      <c r="I22" s="39" t="n">
        <f aca="false">IFERROR('Monthly Summary'!C19/C22,0)</f>
        <v>0.221153846153846</v>
      </c>
      <c r="J22" s="39" t="n">
        <f aca="false">IFERROR('Monthly Summary'!G19/E22,0)</f>
        <v>1.43820224719101</v>
      </c>
      <c r="K22" s="38" t="n">
        <f aca="false">'Monthly Summary'!M19</f>
        <v>27</v>
      </c>
      <c r="L22" s="38" t="n">
        <f aca="false">'Monthly Summary'!O19</f>
        <v>0</v>
      </c>
      <c r="M22" s="39" t="n">
        <f aca="false">IFERROR(L22/K22,0)</f>
        <v>0</v>
      </c>
      <c r="N22" s="40" t="n">
        <f aca="false">'Monthly Summary'!P19</f>
        <v>0</v>
      </c>
      <c r="O22" s="40" t="n">
        <f aca="false">IFERROR(N22/L22,0)</f>
        <v>0</v>
      </c>
      <c r="P22" s="39" t="n">
        <f aca="false">'Monthly Summary'!Q19</f>
        <v>0</v>
      </c>
      <c r="Q22" s="38" t="n">
        <f aca="false">IFERROR((C22+E22)/L22,0)</f>
        <v>0</v>
      </c>
    </row>
    <row r="23" customFormat="false" ht="15" hidden="false" customHeight="false" outlineLevel="0" collapsed="false">
      <c r="B23" s="33" t="str">
        <f aca="false">'Monthly Summary'!A20</f>
        <v>May 2026</v>
      </c>
      <c r="C23" s="34" t="n">
        <f aca="false">'Monthly Summary'!B20</f>
        <v>147</v>
      </c>
      <c r="D23" s="35" t="n">
        <f aca="false">IFERROR((C23-C22)/C22,0)</f>
        <v>0.413461538461538</v>
      </c>
      <c r="E23" s="34" t="n">
        <f aca="false">'Monthly Summary'!F20</f>
        <v>143</v>
      </c>
      <c r="F23" s="35" t="n">
        <f aca="false">IFERROR((E23-E22)/E22,0)</f>
        <v>0.606741573033708</v>
      </c>
      <c r="G23" s="34" t="n">
        <f aca="false">'Monthly Summary'!J20</f>
        <v>15400</v>
      </c>
      <c r="H23" s="35" t="n">
        <f aca="false">IFERROR((G23-G22)/G22,0)</f>
        <v>0.299358758015525</v>
      </c>
      <c r="I23" s="35" t="n">
        <f aca="false">IFERROR('Monthly Summary'!C20/C23,0)</f>
        <v>0.0748299319727891</v>
      </c>
      <c r="J23" s="35" t="n">
        <f aca="false">IFERROR('Monthly Summary'!G20/E23,0)</f>
        <v>1.07692307692308</v>
      </c>
      <c r="K23" s="34" t="n">
        <f aca="false">'Monthly Summary'!M20</f>
        <v>61</v>
      </c>
      <c r="L23" s="34" t="n">
        <f aca="false">'Monthly Summary'!O20</f>
        <v>1</v>
      </c>
      <c r="M23" s="35" t="n">
        <f aca="false">IFERROR(L23/K23,0)</f>
        <v>0.0163934426229508</v>
      </c>
      <c r="N23" s="36" t="n">
        <f aca="false">'Monthly Summary'!P20</f>
        <v>284</v>
      </c>
      <c r="O23" s="36" t="n">
        <f aca="false">IFERROR(N23/L23,0)</f>
        <v>284</v>
      </c>
      <c r="P23" s="35" t="n">
        <f aca="false">'Monthly Summary'!Q20</f>
        <v>0.07042253522</v>
      </c>
      <c r="Q23" s="34" t="n">
        <f aca="false">IFERROR((C23+E23)/L23,0)</f>
        <v>290</v>
      </c>
    </row>
    <row r="24" customFormat="false" ht="15" hidden="false" customHeight="false" outlineLevel="0" collapsed="false">
      <c r="B24" s="37" t="str">
        <f aca="false">'Monthly Summary'!A21</f>
        <v>Jun 2026</v>
      </c>
      <c r="C24" s="38" t="n">
        <f aca="false">'Monthly Summary'!B21</f>
        <v>104</v>
      </c>
      <c r="D24" s="39" t="n">
        <f aca="false">IFERROR((C24-C23)/C23,0)</f>
        <v>-0.292517006802721</v>
      </c>
      <c r="E24" s="38" t="n">
        <f aca="false">'Monthly Summary'!F21</f>
        <v>142</v>
      </c>
      <c r="F24" s="39" t="n">
        <f aca="false">IFERROR((E24-E23)/E23,0)</f>
        <v>-0.00699300699300699</v>
      </c>
      <c r="G24" s="38" t="n">
        <f aca="false">'Monthly Summary'!J21</f>
        <v>9552</v>
      </c>
      <c r="H24" s="39" t="n">
        <f aca="false">IFERROR((G24-G23)/G23,0)</f>
        <v>-0.37974025974026</v>
      </c>
      <c r="I24" s="39" t="n">
        <f aca="false">IFERROR('Monthly Summary'!C21/C24,0)</f>
        <v>0.548076923076923</v>
      </c>
      <c r="J24" s="39" t="n">
        <f aca="false">IFERROR('Monthly Summary'!G21/E24,0)</f>
        <v>0.753521126760563</v>
      </c>
      <c r="K24" s="38" t="n">
        <f aca="false">'Monthly Summary'!M21</f>
        <v>28</v>
      </c>
      <c r="L24" s="38" t="n">
        <f aca="false">'Monthly Summary'!O21</f>
        <v>1</v>
      </c>
      <c r="M24" s="39" t="n">
        <f aca="false">IFERROR(L24/K24,0)</f>
        <v>0.0357142857142857</v>
      </c>
      <c r="N24" s="40" t="n">
        <f aca="false">'Monthly Summary'!P21</f>
        <v>238</v>
      </c>
      <c r="O24" s="40" t="n">
        <f aca="false">IFERROR(N24/L24,0)</f>
        <v>238</v>
      </c>
      <c r="P24" s="39" t="n">
        <f aca="false">'Monthly Summary'!Q21</f>
        <v>0.420168067333333</v>
      </c>
      <c r="Q24" s="38" t="n">
        <f aca="false">IFERROR((C24+E24)/L24,0)</f>
        <v>246</v>
      </c>
    </row>
    <row r="25" customFormat="false" ht="15" hidden="false" customHeight="false" outlineLevel="0" collapsed="false">
      <c r="B25" s="33" t="str">
        <f aca="false">'Monthly Summary'!A22</f>
        <v>Jul 2026</v>
      </c>
      <c r="C25" s="34" t="n">
        <f aca="false">'Monthly Summary'!B22</f>
        <v>35</v>
      </c>
      <c r="D25" s="35" t="n">
        <f aca="false">IFERROR((C25-C24)/C24,0)</f>
        <v>-0.663461538461538</v>
      </c>
      <c r="E25" s="34" t="n">
        <f aca="false">'Monthly Summary'!F22</f>
        <v>0</v>
      </c>
      <c r="F25" s="35" t="n">
        <f aca="false">IFERROR((E25-E24)/E24,0)</f>
        <v>-1</v>
      </c>
      <c r="G25" s="34" t="n">
        <f aca="false">'Monthly Summary'!J22</f>
        <v>0</v>
      </c>
      <c r="H25" s="35" t="n">
        <f aca="false">IFERROR((G25-G24)/G24,0)</f>
        <v>-1</v>
      </c>
      <c r="I25" s="35" t="n">
        <f aca="false">IFERROR('Monthly Summary'!C22/C25,0)</f>
        <v>0.685714285714286</v>
      </c>
      <c r="J25" s="35" t="n">
        <f aca="false">IFERROR('Monthly Summary'!G22/E25,0)</f>
        <v>0</v>
      </c>
      <c r="K25" s="34" t="n">
        <f aca="false">'Monthly Summary'!M22</f>
        <v>0</v>
      </c>
      <c r="L25" s="34" t="n">
        <f aca="false">'Monthly Summary'!O22</f>
        <v>0</v>
      </c>
      <c r="M25" s="35" t="n">
        <f aca="false">IFERROR(L25/K25,0)</f>
        <v>0</v>
      </c>
      <c r="N25" s="36" t="n">
        <f aca="false">'Monthly Summary'!P22</f>
        <v>0</v>
      </c>
      <c r="O25" s="36" t="n">
        <f aca="false">IFERROR(N25/L25,0)</f>
        <v>0</v>
      </c>
      <c r="P25" s="35" t="n">
        <f aca="false">'Monthly Summary'!Q22</f>
        <v>0</v>
      </c>
      <c r="Q25" s="34" t="n">
        <f aca="false">IFERROR((C25+E25)/L25,0)</f>
        <v>0</v>
      </c>
    </row>
    <row r="26" customFormat="false" ht="15" hidden="false" customHeight="false" outlineLevel="0" collapsed="false">
      <c r="B26" s="37" t="str">
        <f aca="false">'Monthly Summary'!A23</f>
        <v>Aug 2026</v>
      </c>
      <c r="C26" s="38" t="n">
        <f aca="false">'Monthly Summary'!B23</f>
        <v>0</v>
      </c>
      <c r="D26" s="39" t="n">
        <f aca="false">IFERROR((C26-C25)/C25,0)</f>
        <v>-1</v>
      </c>
      <c r="E26" s="38" t="n">
        <f aca="false">'Monthly Summary'!F23</f>
        <v>0</v>
      </c>
      <c r="F26" s="39" t="n">
        <f aca="false">IFERROR((E26-E25)/E25,0)</f>
        <v>0</v>
      </c>
      <c r="G26" s="38" t="n">
        <f aca="false">'Monthly Summary'!J23</f>
        <v>0</v>
      </c>
      <c r="H26" s="39" t="n">
        <f aca="false">IFERROR((G26-G25)/G25,0)</f>
        <v>0</v>
      </c>
      <c r="I26" s="39" t="n">
        <f aca="false">IFERROR('Monthly Summary'!C23/C26,0)</f>
        <v>0</v>
      </c>
      <c r="J26" s="39" t="n">
        <f aca="false">IFERROR('Monthly Summary'!G23/E26,0)</f>
        <v>0</v>
      </c>
      <c r="K26" s="38" t="n">
        <f aca="false">'Monthly Summary'!M23</f>
        <v>0</v>
      </c>
      <c r="L26" s="38" t="n">
        <f aca="false">'Monthly Summary'!O23</f>
        <v>0</v>
      </c>
      <c r="M26" s="39" t="n">
        <f aca="false">IFERROR(L26/K26,0)</f>
        <v>0</v>
      </c>
      <c r="N26" s="40" t="n">
        <f aca="false">'Monthly Summary'!P23</f>
        <v>0</v>
      </c>
      <c r="O26" s="40" t="n">
        <f aca="false">IFERROR(N26/L26,0)</f>
        <v>0</v>
      </c>
      <c r="P26" s="39" t="n">
        <f aca="false">'Monthly Summary'!Q23</f>
        <v>0</v>
      </c>
      <c r="Q26" s="38" t="n">
        <f aca="false">IFERROR((C26+E26)/L26,0)</f>
        <v>0</v>
      </c>
    </row>
    <row r="27" customFormat="false" ht="15" hidden="false" customHeight="false" outlineLevel="0" collapsed="false">
      <c r="B27" s="33" t="str">
        <f aca="false">'Monthly Summary'!A24</f>
        <v>Sep 2026</v>
      </c>
      <c r="C27" s="34" t="n">
        <f aca="false">'Monthly Summary'!B24</f>
        <v>0</v>
      </c>
      <c r="D27" s="35" t="n">
        <f aca="false">IFERROR((C27-C26)/C26,0)</f>
        <v>0</v>
      </c>
      <c r="E27" s="34" t="n">
        <f aca="false">'Monthly Summary'!F24</f>
        <v>0</v>
      </c>
      <c r="F27" s="35" t="n">
        <f aca="false">IFERROR((E27-E26)/E26,0)</f>
        <v>0</v>
      </c>
      <c r="G27" s="34" t="n">
        <f aca="false">'Monthly Summary'!J24</f>
        <v>0</v>
      </c>
      <c r="H27" s="35" t="n">
        <f aca="false">IFERROR((G27-G26)/G26,0)</f>
        <v>0</v>
      </c>
      <c r="I27" s="35" t="n">
        <f aca="false">IFERROR('Monthly Summary'!C24/C27,0)</f>
        <v>0</v>
      </c>
      <c r="J27" s="35" t="n">
        <f aca="false">IFERROR('Monthly Summary'!G24/E27,0)</f>
        <v>0</v>
      </c>
      <c r="K27" s="34" t="n">
        <f aca="false">'Monthly Summary'!M24</f>
        <v>0</v>
      </c>
      <c r="L27" s="34" t="n">
        <f aca="false">'Monthly Summary'!O24</f>
        <v>0</v>
      </c>
      <c r="M27" s="35" t="n">
        <f aca="false">IFERROR(L27/K27,0)</f>
        <v>0</v>
      </c>
      <c r="N27" s="36" t="n">
        <f aca="false">'Monthly Summary'!P24</f>
        <v>0</v>
      </c>
      <c r="O27" s="36" t="n">
        <f aca="false">IFERROR(N27/L27,0)</f>
        <v>0</v>
      </c>
      <c r="P27" s="35" t="n">
        <f aca="false">'Monthly Summary'!Q24</f>
        <v>0</v>
      </c>
      <c r="Q27" s="34" t="n">
        <f aca="false">IFERROR((C27+E27)/L27,0)</f>
        <v>0</v>
      </c>
    </row>
    <row r="28" customFormat="false" ht="15" hidden="false" customHeight="false" outlineLevel="0" collapsed="false">
      <c r="B28" s="37" t="str">
        <f aca="false">'Monthly Summary'!A25</f>
        <v>Oct 2026</v>
      </c>
      <c r="C28" s="38" t="n">
        <f aca="false">'Monthly Summary'!B25</f>
        <v>0</v>
      </c>
      <c r="D28" s="39" t="n">
        <f aca="false">IFERROR((C28-C27)/C27,0)</f>
        <v>0</v>
      </c>
      <c r="E28" s="38" t="n">
        <f aca="false">'Monthly Summary'!F25</f>
        <v>0</v>
      </c>
      <c r="F28" s="39" t="n">
        <f aca="false">IFERROR((E28-E27)/E27,0)</f>
        <v>0</v>
      </c>
      <c r="G28" s="38" t="n">
        <f aca="false">'Monthly Summary'!J25</f>
        <v>0</v>
      </c>
      <c r="H28" s="39" t="n">
        <f aca="false">IFERROR((G28-G27)/G27,0)</f>
        <v>0</v>
      </c>
      <c r="I28" s="39" t="n">
        <f aca="false">IFERROR('Monthly Summary'!C25/C28,0)</f>
        <v>0</v>
      </c>
      <c r="J28" s="39" t="n">
        <f aca="false">IFERROR('Monthly Summary'!G25/E28,0)</f>
        <v>0</v>
      </c>
      <c r="K28" s="38" t="n">
        <f aca="false">'Monthly Summary'!M25</f>
        <v>0</v>
      </c>
      <c r="L28" s="38" t="n">
        <f aca="false">'Monthly Summary'!O25</f>
        <v>0</v>
      </c>
      <c r="M28" s="39" t="n">
        <f aca="false">IFERROR(L28/K28,0)</f>
        <v>0</v>
      </c>
      <c r="N28" s="40" t="n">
        <f aca="false">'Monthly Summary'!P25</f>
        <v>0</v>
      </c>
      <c r="O28" s="40" t="n">
        <f aca="false">IFERROR(N28/L28,0)</f>
        <v>0</v>
      </c>
      <c r="P28" s="39" t="n">
        <f aca="false">'Monthly Summary'!Q25</f>
        <v>0</v>
      </c>
      <c r="Q28" s="38" t="n">
        <f aca="false">IFERROR((C28+E28)/L28,0)</f>
        <v>0</v>
      </c>
    </row>
    <row r="29" customFormat="false" ht="15" hidden="false" customHeight="false" outlineLevel="0" collapsed="false">
      <c r="B29" s="33" t="str">
        <f aca="false">'Monthly Summary'!A26</f>
        <v>Nov 2026</v>
      </c>
      <c r="C29" s="34" t="n">
        <f aca="false">'Monthly Summary'!B26</f>
        <v>0</v>
      </c>
      <c r="D29" s="35" t="n">
        <f aca="false">IFERROR((C29-C28)/C28,0)</f>
        <v>0</v>
      </c>
      <c r="E29" s="34" t="n">
        <f aca="false">'Monthly Summary'!F26</f>
        <v>0</v>
      </c>
      <c r="F29" s="35" t="n">
        <f aca="false">IFERROR((E29-E28)/E28,0)</f>
        <v>0</v>
      </c>
      <c r="G29" s="34" t="n">
        <f aca="false">'Monthly Summary'!J26</f>
        <v>0</v>
      </c>
      <c r="H29" s="35" t="n">
        <f aca="false">IFERROR((G29-G28)/G28,0)</f>
        <v>0</v>
      </c>
      <c r="I29" s="35" t="n">
        <f aca="false">IFERROR('Monthly Summary'!C26/C29,0)</f>
        <v>0</v>
      </c>
      <c r="J29" s="35" t="n">
        <f aca="false">IFERROR('Monthly Summary'!G26/E29,0)</f>
        <v>0</v>
      </c>
      <c r="K29" s="34" t="n">
        <f aca="false">'Monthly Summary'!M26</f>
        <v>0</v>
      </c>
      <c r="L29" s="34" t="n">
        <f aca="false">'Monthly Summary'!O26</f>
        <v>0</v>
      </c>
      <c r="M29" s="35" t="n">
        <f aca="false">IFERROR(L29/K29,0)</f>
        <v>0</v>
      </c>
      <c r="N29" s="36" t="n">
        <f aca="false">'Monthly Summary'!P26</f>
        <v>0</v>
      </c>
      <c r="O29" s="36" t="n">
        <f aca="false">IFERROR(N29/L29,0)</f>
        <v>0</v>
      </c>
      <c r="P29" s="35" t="n">
        <f aca="false">'Monthly Summary'!Q26</f>
        <v>0</v>
      </c>
      <c r="Q29" s="34" t="n">
        <f aca="false">IFERROR((C29+E29)/L29,0)</f>
        <v>0</v>
      </c>
    </row>
    <row r="30" customFormat="false" ht="15" hidden="false" customHeight="false" outlineLevel="0" collapsed="false">
      <c r="B30" s="37" t="str">
        <f aca="false">'Monthly Summary'!A27</f>
        <v>Dec 2026</v>
      </c>
      <c r="C30" s="38" t="n">
        <f aca="false">'Monthly Summary'!B27</f>
        <v>0</v>
      </c>
      <c r="D30" s="39" t="n">
        <f aca="false">IFERROR((C30-C29)/C29,0)</f>
        <v>0</v>
      </c>
      <c r="E30" s="38" t="n">
        <f aca="false">'Monthly Summary'!F27</f>
        <v>0</v>
      </c>
      <c r="F30" s="39" t="n">
        <f aca="false">IFERROR((E30-E29)/E29,0)</f>
        <v>0</v>
      </c>
      <c r="G30" s="38" t="n">
        <f aca="false">'Monthly Summary'!J27</f>
        <v>0</v>
      </c>
      <c r="H30" s="39" t="n">
        <f aca="false">IFERROR((G30-G29)/G29,0)</f>
        <v>0</v>
      </c>
      <c r="I30" s="39" t="n">
        <f aca="false">IFERROR('Monthly Summary'!C27/C30,0)</f>
        <v>0</v>
      </c>
      <c r="J30" s="39" t="n">
        <f aca="false">IFERROR('Monthly Summary'!G27/E30,0)</f>
        <v>0</v>
      </c>
      <c r="K30" s="38" t="n">
        <f aca="false">'Monthly Summary'!M27</f>
        <v>0</v>
      </c>
      <c r="L30" s="38" t="n">
        <f aca="false">'Monthly Summary'!O27</f>
        <v>0</v>
      </c>
      <c r="M30" s="39" t="n">
        <f aca="false">IFERROR(L30/K30,0)</f>
        <v>0</v>
      </c>
      <c r="N30" s="40" t="n">
        <f aca="false">'Monthly Summary'!P27</f>
        <v>0</v>
      </c>
      <c r="O30" s="40" t="n">
        <f aca="false">IFERROR(N30/L30,0)</f>
        <v>0</v>
      </c>
      <c r="P30" s="39" t="n">
        <f aca="false">'Monthly Summary'!Q27</f>
        <v>0</v>
      </c>
      <c r="Q30" s="38" t="n">
        <f aca="false">IFERROR((C30+E30)/L30,0)</f>
        <v>0</v>
      </c>
    </row>
    <row r="31" customFormat="false" ht="15" hidden="false" customHeight="false" outlineLevel="0" collapsed="false">
      <c r="B31" s="33" t="str">
        <f aca="false">'Monthly Summary'!A28</f>
        <v>Jan 2027</v>
      </c>
      <c r="C31" s="34" t="n">
        <f aca="false">'Monthly Summary'!B28</f>
        <v>0</v>
      </c>
      <c r="D31" s="35" t="n">
        <f aca="false">IFERROR((C31-C30)/C30,0)</f>
        <v>0</v>
      </c>
      <c r="E31" s="34" t="n">
        <f aca="false">'Monthly Summary'!F28</f>
        <v>0</v>
      </c>
      <c r="F31" s="35" t="n">
        <f aca="false">IFERROR((E31-E30)/E30,0)</f>
        <v>0</v>
      </c>
      <c r="G31" s="34" t="n">
        <f aca="false">'Monthly Summary'!J28</f>
        <v>0</v>
      </c>
      <c r="H31" s="35" t="n">
        <f aca="false">IFERROR((G31-G30)/G30,0)</f>
        <v>0</v>
      </c>
      <c r="I31" s="35" t="n">
        <f aca="false">IFERROR('Monthly Summary'!C28/C31,0)</f>
        <v>0</v>
      </c>
      <c r="J31" s="35" t="n">
        <f aca="false">IFERROR('Monthly Summary'!G28/E31,0)</f>
        <v>0</v>
      </c>
      <c r="K31" s="34" t="n">
        <f aca="false">'Monthly Summary'!M28</f>
        <v>0</v>
      </c>
      <c r="L31" s="34" t="n">
        <f aca="false">'Monthly Summary'!O28</f>
        <v>0</v>
      </c>
      <c r="M31" s="35" t="n">
        <f aca="false">IFERROR(L31/K31,0)</f>
        <v>0</v>
      </c>
      <c r="N31" s="36" t="n">
        <f aca="false">'Monthly Summary'!P28</f>
        <v>0</v>
      </c>
      <c r="O31" s="36" t="n">
        <f aca="false">IFERROR(N31/L31,0)</f>
        <v>0</v>
      </c>
      <c r="P31" s="35" t="n">
        <f aca="false">'Monthly Summary'!Q28</f>
        <v>0</v>
      </c>
      <c r="Q31" s="34" t="n">
        <f aca="false">IFERROR((C31+E31)/L31,0)</f>
        <v>0</v>
      </c>
    </row>
    <row r="32" customFormat="false" ht="15" hidden="false" customHeight="false" outlineLevel="0" collapsed="false">
      <c r="B32" s="37" t="str">
        <f aca="false">'Monthly Summary'!A29</f>
        <v>Feb 2027</v>
      </c>
      <c r="C32" s="38" t="n">
        <f aca="false">'Monthly Summary'!B29</f>
        <v>0</v>
      </c>
      <c r="D32" s="39" t="n">
        <f aca="false">IFERROR((C32-C31)/C31,0)</f>
        <v>0</v>
      </c>
      <c r="E32" s="38" t="n">
        <f aca="false">'Monthly Summary'!F29</f>
        <v>0</v>
      </c>
      <c r="F32" s="39" t="n">
        <f aca="false">IFERROR((E32-E31)/E31,0)</f>
        <v>0</v>
      </c>
      <c r="G32" s="38" t="n">
        <f aca="false">'Monthly Summary'!J29</f>
        <v>0</v>
      </c>
      <c r="H32" s="39" t="n">
        <f aca="false">IFERROR((G32-G31)/G31,0)</f>
        <v>0</v>
      </c>
      <c r="I32" s="39" t="n">
        <f aca="false">IFERROR('Monthly Summary'!C29/C32,0)</f>
        <v>0</v>
      </c>
      <c r="J32" s="39" t="n">
        <f aca="false">IFERROR('Monthly Summary'!G29/E32,0)</f>
        <v>0</v>
      </c>
      <c r="K32" s="38" t="n">
        <f aca="false">'Monthly Summary'!M29</f>
        <v>0</v>
      </c>
      <c r="L32" s="38" t="n">
        <f aca="false">'Monthly Summary'!O29</f>
        <v>0</v>
      </c>
      <c r="M32" s="39" t="n">
        <f aca="false">IFERROR(L32/K32,0)</f>
        <v>0</v>
      </c>
      <c r="N32" s="40" t="n">
        <f aca="false">'Monthly Summary'!P29</f>
        <v>0</v>
      </c>
      <c r="O32" s="40" t="n">
        <f aca="false">IFERROR(N32/L32,0)</f>
        <v>0</v>
      </c>
      <c r="P32" s="39" t="n">
        <f aca="false">'Monthly Summary'!Q29</f>
        <v>0</v>
      </c>
      <c r="Q32" s="38" t="n">
        <f aca="false">IFERROR((C32+E32)/L32,0)</f>
        <v>0</v>
      </c>
    </row>
    <row r="33" customFormat="false" ht="15" hidden="false" customHeight="false" outlineLevel="0" collapsed="false">
      <c r="B33" s="33" t="str">
        <f aca="false">'Monthly Summary'!A30</f>
        <v>Mar 2027</v>
      </c>
      <c r="C33" s="34" t="n">
        <f aca="false">'Monthly Summary'!B30</f>
        <v>0</v>
      </c>
      <c r="D33" s="35" t="n">
        <f aca="false">IFERROR((C33-C32)/C32,0)</f>
        <v>0</v>
      </c>
      <c r="E33" s="34" t="n">
        <f aca="false">'Monthly Summary'!F30</f>
        <v>0</v>
      </c>
      <c r="F33" s="35" t="n">
        <f aca="false">IFERROR((E33-E32)/E32,0)</f>
        <v>0</v>
      </c>
      <c r="G33" s="34" t="n">
        <f aca="false">'Monthly Summary'!J30</f>
        <v>0</v>
      </c>
      <c r="H33" s="35" t="n">
        <f aca="false">IFERROR((G33-G32)/G32,0)</f>
        <v>0</v>
      </c>
      <c r="I33" s="35" t="n">
        <f aca="false">IFERROR('Monthly Summary'!C30/C33,0)</f>
        <v>0</v>
      </c>
      <c r="J33" s="35" t="n">
        <f aca="false">IFERROR('Monthly Summary'!G30/E33,0)</f>
        <v>0</v>
      </c>
      <c r="K33" s="34" t="n">
        <f aca="false">'Monthly Summary'!M30</f>
        <v>0</v>
      </c>
      <c r="L33" s="34" t="n">
        <f aca="false">'Monthly Summary'!O30</f>
        <v>0</v>
      </c>
      <c r="M33" s="35" t="n">
        <f aca="false">IFERROR(L33/K33,0)</f>
        <v>0</v>
      </c>
      <c r="N33" s="36" t="n">
        <f aca="false">'Monthly Summary'!P30</f>
        <v>0</v>
      </c>
      <c r="O33" s="36" t="n">
        <f aca="false">IFERROR(N33/L33,0)</f>
        <v>0</v>
      </c>
      <c r="P33" s="35" t="n">
        <f aca="false">'Monthly Summary'!Q30</f>
        <v>0</v>
      </c>
      <c r="Q33" s="34" t="n">
        <f aca="false">IFERROR((C33+E33)/L33,0)</f>
        <v>0</v>
      </c>
    </row>
    <row r="34" customFormat="false" ht="15" hidden="false" customHeight="false" outlineLevel="0" collapsed="false">
      <c r="B34" s="37" t="str">
        <f aca="false">'Monthly Summary'!A31</f>
        <v>Apr 2027</v>
      </c>
      <c r="C34" s="38" t="n">
        <f aca="false">'Monthly Summary'!B31</f>
        <v>0</v>
      </c>
      <c r="D34" s="39" t="n">
        <f aca="false">IFERROR((C34-C33)/C33,0)</f>
        <v>0</v>
      </c>
      <c r="E34" s="38" t="n">
        <f aca="false">'Monthly Summary'!F31</f>
        <v>0</v>
      </c>
      <c r="F34" s="39" t="n">
        <f aca="false">IFERROR((E34-E33)/E33,0)</f>
        <v>0</v>
      </c>
      <c r="G34" s="38" t="n">
        <f aca="false">'Monthly Summary'!J31</f>
        <v>0</v>
      </c>
      <c r="H34" s="39" t="n">
        <f aca="false">IFERROR((G34-G33)/G33,0)</f>
        <v>0</v>
      </c>
      <c r="I34" s="39" t="n">
        <f aca="false">IFERROR('Monthly Summary'!C31/C34,0)</f>
        <v>0</v>
      </c>
      <c r="J34" s="39" t="n">
        <f aca="false">IFERROR('Monthly Summary'!G31/E34,0)</f>
        <v>0</v>
      </c>
      <c r="K34" s="38" t="n">
        <f aca="false">'Monthly Summary'!M31</f>
        <v>0</v>
      </c>
      <c r="L34" s="38" t="n">
        <f aca="false">'Monthly Summary'!O31</f>
        <v>0</v>
      </c>
      <c r="M34" s="39" t="n">
        <f aca="false">IFERROR(L34/K34,0)</f>
        <v>0</v>
      </c>
      <c r="N34" s="40" t="n">
        <f aca="false">'Monthly Summary'!P31</f>
        <v>0</v>
      </c>
      <c r="O34" s="40" t="n">
        <f aca="false">IFERROR(N34/L34,0)</f>
        <v>0</v>
      </c>
      <c r="P34" s="39" t="n">
        <f aca="false">'Monthly Summary'!Q31</f>
        <v>0</v>
      </c>
      <c r="Q34" s="38" t="n">
        <f aca="false">IFERROR((C34+E34)/L34,0)</f>
        <v>0</v>
      </c>
    </row>
    <row r="35" customFormat="false" ht="15" hidden="false" customHeight="false" outlineLevel="0" collapsed="false">
      <c r="B35" s="33" t="str">
        <f aca="false">'Monthly Summary'!A32</f>
        <v>May 2027</v>
      </c>
      <c r="C35" s="34" t="n">
        <f aca="false">'Monthly Summary'!B32</f>
        <v>0</v>
      </c>
      <c r="D35" s="35" t="n">
        <f aca="false">IFERROR((C35-C34)/C34,0)</f>
        <v>0</v>
      </c>
      <c r="E35" s="34" t="n">
        <f aca="false">'Monthly Summary'!F32</f>
        <v>0</v>
      </c>
      <c r="F35" s="35" t="n">
        <f aca="false">IFERROR((E35-E34)/E34,0)</f>
        <v>0</v>
      </c>
      <c r="G35" s="34" t="n">
        <f aca="false">'Monthly Summary'!J32</f>
        <v>0</v>
      </c>
      <c r="H35" s="35" t="n">
        <f aca="false">IFERROR((G35-G34)/G34,0)</f>
        <v>0</v>
      </c>
      <c r="I35" s="35" t="n">
        <f aca="false">IFERROR('Monthly Summary'!C32/C35,0)</f>
        <v>0</v>
      </c>
      <c r="J35" s="35" t="n">
        <f aca="false">IFERROR('Monthly Summary'!G32/E35,0)</f>
        <v>0</v>
      </c>
      <c r="K35" s="34" t="n">
        <f aca="false">'Monthly Summary'!M32</f>
        <v>0</v>
      </c>
      <c r="L35" s="34" t="n">
        <f aca="false">'Monthly Summary'!O32</f>
        <v>0</v>
      </c>
      <c r="M35" s="35" t="n">
        <f aca="false">IFERROR(L35/K35,0)</f>
        <v>0</v>
      </c>
      <c r="N35" s="36" t="n">
        <f aca="false">'Monthly Summary'!P32</f>
        <v>0</v>
      </c>
      <c r="O35" s="36" t="n">
        <f aca="false">IFERROR(N35/L35,0)</f>
        <v>0</v>
      </c>
      <c r="P35" s="35" t="n">
        <f aca="false">'Monthly Summary'!Q32</f>
        <v>0</v>
      </c>
      <c r="Q35" s="34" t="n">
        <f aca="false">IFERROR((C35+E35)/L35,0)</f>
        <v>0</v>
      </c>
    </row>
    <row r="36" customFormat="false" ht="15" hidden="false" customHeight="false" outlineLevel="0" collapsed="false">
      <c r="B36" s="37" t="str">
        <f aca="false">'Monthly Summary'!A33</f>
        <v>Jun 2027</v>
      </c>
      <c r="C36" s="38" t="n">
        <f aca="false">'Monthly Summary'!B33</f>
        <v>0</v>
      </c>
      <c r="D36" s="39" t="n">
        <f aca="false">IFERROR((C36-C35)/C35,0)</f>
        <v>0</v>
      </c>
      <c r="E36" s="38" t="n">
        <f aca="false">'Monthly Summary'!F33</f>
        <v>0</v>
      </c>
      <c r="F36" s="39" t="n">
        <f aca="false">IFERROR((E36-E35)/E35,0)</f>
        <v>0</v>
      </c>
      <c r="G36" s="38" t="n">
        <f aca="false">'Monthly Summary'!J33</f>
        <v>0</v>
      </c>
      <c r="H36" s="39" t="n">
        <f aca="false">IFERROR((G36-G35)/G35,0)</f>
        <v>0</v>
      </c>
      <c r="I36" s="39" t="n">
        <f aca="false">IFERROR('Monthly Summary'!C33/C36,0)</f>
        <v>0</v>
      </c>
      <c r="J36" s="39" t="n">
        <f aca="false">IFERROR('Monthly Summary'!G33/E36,0)</f>
        <v>0</v>
      </c>
      <c r="K36" s="38" t="n">
        <f aca="false">'Monthly Summary'!M33</f>
        <v>0</v>
      </c>
      <c r="L36" s="38" t="n">
        <f aca="false">'Monthly Summary'!O33</f>
        <v>0</v>
      </c>
      <c r="M36" s="39" t="n">
        <f aca="false">IFERROR(L36/K36,0)</f>
        <v>0</v>
      </c>
      <c r="N36" s="40" t="n">
        <f aca="false">'Monthly Summary'!P33</f>
        <v>0</v>
      </c>
      <c r="O36" s="40" t="n">
        <f aca="false">IFERROR(N36/L36,0)</f>
        <v>0</v>
      </c>
      <c r="P36" s="39" t="n">
        <f aca="false">'Monthly Summary'!Q33</f>
        <v>0</v>
      </c>
      <c r="Q36" s="38" t="n">
        <f aca="false">IFERROR((C36+E36)/L36,0)</f>
        <v>0</v>
      </c>
    </row>
    <row r="37" customFormat="false" ht="15" hidden="false" customHeight="false" outlineLevel="0" collapsed="false">
      <c r="B37" s="33" t="str">
        <f aca="false">'Monthly Summary'!A34</f>
        <v>Jul 2027</v>
      </c>
      <c r="C37" s="34" t="n">
        <f aca="false">'Monthly Summary'!B34</f>
        <v>0</v>
      </c>
      <c r="D37" s="35" t="n">
        <f aca="false">IFERROR((C37-C36)/C36,0)</f>
        <v>0</v>
      </c>
      <c r="E37" s="34" t="n">
        <f aca="false">'Monthly Summary'!F34</f>
        <v>0</v>
      </c>
      <c r="F37" s="35" t="n">
        <f aca="false">IFERROR((E37-E36)/E36,0)</f>
        <v>0</v>
      </c>
      <c r="G37" s="34" t="n">
        <f aca="false">'Monthly Summary'!J34</f>
        <v>0</v>
      </c>
      <c r="H37" s="35" t="n">
        <f aca="false">IFERROR((G37-G36)/G36,0)</f>
        <v>0</v>
      </c>
      <c r="I37" s="35" t="n">
        <f aca="false">IFERROR('Monthly Summary'!C34/C37,0)</f>
        <v>0</v>
      </c>
      <c r="J37" s="35" t="n">
        <f aca="false">IFERROR('Monthly Summary'!G34/E37,0)</f>
        <v>0</v>
      </c>
      <c r="K37" s="34" t="n">
        <f aca="false">'Monthly Summary'!M34</f>
        <v>0</v>
      </c>
      <c r="L37" s="34" t="n">
        <f aca="false">'Monthly Summary'!O34</f>
        <v>0</v>
      </c>
      <c r="M37" s="35" t="n">
        <f aca="false">IFERROR(L37/K37,0)</f>
        <v>0</v>
      </c>
      <c r="N37" s="36" t="n">
        <f aca="false">'Monthly Summary'!P34</f>
        <v>0</v>
      </c>
      <c r="O37" s="36" t="n">
        <f aca="false">IFERROR(N37/L37,0)</f>
        <v>0</v>
      </c>
      <c r="P37" s="35" t="n">
        <f aca="false">'Monthly Summary'!Q34</f>
        <v>0</v>
      </c>
      <c r="Q37" s="34" t="n">
        <f aca="false">IFERROR((C37+E37)/L37,0)</f>
        <v>0</v>
      </c>
    </row>
    <row r="38" customFormat="false" ht="15" hidden="false" customHeight="false" outlineLevel="0" collapsed="false">
      <c r="B38" s="37" t="str">
        <f aca="false">'Monthly Summary'!A35</f>
        <v>Aug 2027</v>
      </c>
      <c r="C38" s="38" t="n">
        <f aca="false">'Monthly Summary'!B35</f>
        <v>0</v>
      </c>
      <c r="D38" s="39" t="n">
        <f aca="false">IFERROR((C38-C37)/C37,0)</f>
        <v>0</v>
      </c>
      <c r="E38" s="38" t="n">
        <f aca="false">'Monthly Summary'!F35</f>
        <v>0</v>
      </c>
      <c r="F38" s="39" t="n">
        <f aca="false">IFERROR((E38-E37)/E37,0)</f>
        <v>0</v>
      </c>
      <c r="G38" s="38" t="n">
        <f aca="false">'Monthly Summary'!J35</f>
        <v>0</v>
      </c>
      <c r="H38" s="39" t="n">
        <f aca="false">IFERROR((G38-G37)/G37,0)</f>
        <v>0</v>
      </c>
      <c r="I38" s="39" t="n">
        <f aca="false">IFERROR('Monthly Summary'!C35/C38,0)</f>
        <v>0</v>
      </c>
      <c r="J38" s="39" t="n">
        <f aca="false">IFERROR('Monthly Summary'!G35/E38,0)</f>
        <v>0</v>
      </c>
      <c r="K38" s="38" t="n">
        <f aca="false">'Monthly Summary'!M35</f>
        <v>0</v>
      </c>
      <c r="L38" s="38" t="n">
        <f aca="false">'Monthly Summary'!O35</f>
        <v>0</v>
      </c>
      <c r="M38" s="39" t="n">
        <f aca="false">IFERROR(L38/K38,0)</f>
        <v>0</v>
      </c>
      <c r="N38" s="40" t="n">
        <f aca="false">'Monthly Summary'!P35</f>
        <v>0</v>
      </c>
      <c r="O38" s="40" t="n">
        <f aca="false">IFERROR(N38/L38,0)</f>
        <v>0</v>
      </c>
      <c r="P38" s="39" t="n">
        <f aca="false">'Monthly Summary'!Q35</f>
        <v>0</v>
      </c>
      <c r="Q38" s="38" t="n">
        <f aca="false">IFERROR((C38+E38)/L38,0)</f>
        <v>0</v>
      </c>
    </row>
    <row r="39" customFormat="false" ht="15" hidden="false" customHeight="false" outlineLevel="0" collapsed="false">
      <c r="B39" s="33" t="str">
        <f aca="false">'Monthly Summary'!A36</f>
        <v>Sep 2027</v>
      </c>
      <c r="C39" s="34" t="n">
        <f aca="false">'Monthly Summary'!B36</f>
        <v>0</v>
      </c>
      <c r="D39" s="35" t="n">
        <f aca="false">IFERROR((C39-C38)/C38,0)</f>
        <v>0</v>
      </c>
      <c r="E39" s="34" t="n">
        <f aca="false">'Monthly Summary'!F36</f>
        <v>0</v>
      </c>
      <c r="F39" s="35" t="n">
        <f aca="false">IFERROR((E39-E38)/E38,0)</f>
        <v>0</v>
      </c>
      <c r="G39" s="34" t="n">
        <f aca="false">'Monthly Summary'!J36</f>
        <v>0</v>
      </c>
      <c r="H39" s="35" t="n">
        <f aca="false">IFERROR((G39-G38)/G38,0)</f>
        <v>0</v>
      </c>
      <c r="I39" s="35" t="n">
        <f aca="false">IFERROR('Monthly Summary'!C36/C39,0)</f>
        <v>0</v>
      </c>
      <c r="J39" s="35" t="n">
        <f aca="false">IFERROR('Monthly Summary'!G36/E39,0)</f>
        <v>0</v>
      </c>
      <c r="K39" s="34" t="n">
        <f aca="false">'Monthly Summary'!M36</f>
        <v>0</v>
      </c>
      <c r="L39" s="34" t="n">
        <f aca="false">'Monthly Summary'!O36</f>
        <v>0</v>
      </c>
      <c r="M39" s="35" t="n">
        <f aca="false">IFERROR(L39/K39,0)</f>
        <v>0</v>
      </c>
      <c r="N39" s="36" t="n">
        <f aca="false">'Monthly Summary'!P36</f>
        <v>0</v>
      </c>
      <c r="O39" s="36" t="n">
        <f aca="false">IFERROR(N39/L39,0)</f>
        <v>0</v>
      </c>
      <c r="P39" s="35" t="n">
        <f aca="false">'Monthly Summary'!Q36</f>
        <v>0</v>
      </c>
      <c r="Q39" s="34" t="n">
        <f aca="false">IFERROR((C39+E39)/L39,0)</f>
        <v>0</v>
      </c>
    </row>
    <row r="40" customFormat="false" ht="15" hidden="false" customHeight="false" outlineLevel="0" collapsed="false">
      <c r="B40" s="37" t="str">
        <f aca="false">'Monthly Summary'!A37</f>
        <v>Oct 2027</v>
      </c>
      <c r="C40" s="38" t="n">
        <f aca="false">'Monthly Summary'!B37</f>
        <v>0</v>
      </c>
      <c r="D40" s="39" t="n">
        <f aca="false">IFERROR((C40-C39)/C39,0)</f>
        <v>0</v>
      </c>
      <c r="E40" s="38" t="n">
        <f aca="false">'Monthly Summary'!F37</f>
        <v>0</v>
      </c>
      <c r="F40" s="39" t="n">
        <f aca="false">IFERROR((E40-E39)/E39,0)</f>
        <v>0</v>
      </c>
      <c r="G40" s="38" t="n">
        <f aca="false">'Monthly Summary'!J37</f>
        <v>0</v>
      </c>
      <c r="H40" s="39" t="n">
        <f aca="false">IFERROR((G40-G39)/G39,0)</f>
        <v>0</v>
      </c>
      <c r="I40" s="39" t="n">
        <f aca="false">IFERROR('Monthly Summary'!C37/C40,0)</f>
        <v>0</v>
      </c>
      <c r="J40" s="39" t="n">
        <f aca="false">IFERROR('Monthly Summary'!G37/E40,0)</f>
        <v>0</v>
      </c>
      <c r="K40" s="38" t="n">
        <f aca="false">'Monthly Summary'!M37</f>
        <v>0</v>
      </c>
      <c r="L40" s="38" t="n">
        <f aca="false">'Monthly Summary'!O37</f>
        <v>0</v>
      </c>
      <c r="M40" s="39" t="n">
        <f aca="false">IFERROR(L40/K40,0)</f>
        <v>0</v>
      </c>
      <c r="N40" s="40" t="n">
        <f aca="false">'Monthly Summary'!P37</f>
        <v>0</v>
      </c>
      <c r="O40" s="40" t="n">
        <f aca="false">IFERROR(N40/L40,0)</f>
        <v>0</v>
      </c>
      <c r="P40" s="39" t="n">
        <f aca="false">'Monthly Summary'!Q37</f>
        <v>0</v>
      </c>
      <c r="Q40" s="38" t="n">
        <f aca="false">IFERROR((C40+E40)/L40,0)</f>
        <v>0</v>
      </c>
    </row>
    <row r="41" customFormat="false" ht="15" hidden="false" customHeight="false" outlineLevel="0" collapsed="false">
      <c r="B41" s="33" t="str">
        <f aca="false">'Monthly Summary'!A38</f>
        <v>Nov 2027</v>
      </c>
      <c r="C41" s="34" t="n">
        <f aca="false">'Monthly Summary'!B38</f>
        <v>0</v>
      </c>
      <c r="D41" s="35" t="n">
        <f aca="false">IFERROR((C41-C40)/C40,0)</f>
        <v>0</v>
      </c>
      <c r="E41" s="34" t="n">
        <f aca="false">'Monthly Summary'!F38</f>
        <v>0</v>
      </c>
      <c r="F41" s="35" t="n">
        <f aca="false">IFERROR((E41-E40)/E40,0)</f>
        <v>0</v>
      </c>
      <c r="G41" s="34" t="n">
        <f aca="false">'Monthly Summary'!J38</f>
        <v>0</v>
      </c>
      <c r="H41" s="35" t="n">
        <f aca="false">IFERROR((G41-G40)/G40,0)</f>
        <v>0</v>
      </c>
      <c r="I41" s="35" t="n">
        <f aca="false">IFERROR('Monthly Summary'!C38/C41,0)</f>
        <v>0</v>
      </c>
      <c r="J41" s="35" t="n">
        <f aca="false">IFERROR('Monthly Summary'!G38/E41,0)</f>
        <v>0</v>
      </c>
      <c r="K41" s="34" t="n">
        <f aca="false">'Monthly Summary'!M38</f>
        <v>0</v>
      </c>
      <c r="L41" s="34" t="n">
        <f aca="false">'Monthly Summary'!O38</f>
        <v>0</v>
      </c>
      <c r="M41" s="35" t="n">
        <f aca="false">IFERROR(L41/K41,0)</f>
        <v>0</v>
      </c>
      <c r="N41" s="36" t="n">
        <f aca="false">'Monthly Summary'!P38</f>
        <v>0</v>
      </c>
      <c r="O41" s="36" t="n">
        <f aca="false">IFERROR(N41/L41,0)</f>
        <v>0</v>
      </c>
      <c r="P41" s="35" t="n">
        <f aca="false">'Monthly Summary'!Q38</f>
        <v>0</v>
      </c>
      <c r="Q41" s="34" t="n">
        <f aca="false">IFERROR((C41+E41)/L41,0)</f>
        <v>0</v>
      </c>
    </row>
    <row r="42" customFormat="false" ht="15" hidden="false" customHeight="false" outlineLevel="0" collapsed="false">
      <c r="B42" s="37" t="str">
        <f aca="false">'Monthly Summary'!A39</f>
        <v>Dec 2027</v>
      </c>
      <c r="C42" s="38" t="n">
        <f aca="false">'Monthly Summary'!B39</f>
        <v>0</v>
      </c>
      <c r="D42" s="39" t="n">
        <f aca="false">IFERROR((C42-C41)/C41,0)</f>
        <v>0</v>
      </c>
      <c r="E42" s="38" t="n">
        <f aca="false">'Monthly Summary'!F39</f>
        <v>0</v>
      </c>
      <c r="F42" s="39" t="n">
        <f aca="false">IFERROR((E42-E41)/E41,0)</f>
        <v>0</v>
      </c>
      <c r="G42" s="38" t="n">
        <f aca="false">'Monthly Summary'!J39</f>
        <v>0</v>
      </c>
      <c r="H42" s="39" t="n">
        <f aca="false">IFERROR((G42-G41)/G41,0)</f>
        <v>0</v>
      </c>
      <c r="I42" s="39" t="n">
        <f aca="false">IFERROR('Monthly Summary'!C39/C42,0)</f>
        <v>0</v>
      </c>
      <c r="J42" s="39" t="n">
        <f aca="false">IFERROR('Monthly Summary'!G39/E42,0)</f>
        <v>0</v>
      </c>
      <c r="K42" s="38" t="n">
        <f aca="false">'Monthly Summary'!M39</f>
        <v>0</v>
      </c>
      <c r="L42" s="38" t="n">
        <f aca="false">'Monthly Summary'!O39</f>
        <v>0</v>
      </c>
      <c r="M42" s="39" t="n">
        <f aca="false">IFERROR(L42/K42,0)</f>
        <v>0</v>
      </c>
      <c r="N42" s="40" t="n">
        <f aca="false">'Monthly Summary'!P39</f>
        <v>0</v>
      </c>
      <c r="O42" s="40" t="n">
        <f aca="false">IFERROR(N42/L42,0)</f>
        <v>0</v>
      </c>
      <c r="P42" s="39" t="n">
        <f aca="false">'Monthly Summary'!Q39</f>
        <v>0</v>
      </c>
      <c r="Q42" s="38" t="n">
        <f aca="false">IFERROR((C42+E42)/L42,0)</f>
        <v>0</v>
      </c>
    </row>
    <row r="43" customFormat="false" ht="15" hidden="false" customHeight="false" outlineLevel="0" collapsed="false">
      <c r="B43" s="33" t="n">
        <f aca="false">'Monthly Summary'!A40</f>
        <v>0</v>
      </c>
      <c r="C43" s="34" t="n">
        <f aca="false">'Monthly Summary'!B40</f>
        <v>0</v>
      </c>
      <c r="D43" s="35" t="n">
        <f aca="false">IFERROR((C43-C42)/C42,0)</f>
        <v>0</v>
      </c>
      <c r="E43" s="34" t="n">
        <f aca="false">'Monthly Summary'!F40</f>
        <v>0</v>
      </c>
      <c r="F43" s="35" t="n">
        <f aca="false">IFERROR((E43-E42)/E42,0)</f>
        <v>0</v>
      </c>
      <c r="G43" s="34" t="n">
        <f aca="false">'Monthly Summary'!J40</f>
        <v>0</v>
      </c>
      <c r="H43" s="35" t="n">
        <f aca="false">IFERROR((G43-G42)/G42,0)</f>
        <v>0</v>
      </c>
      <c r="I43" s="35" t="n">
        <f aca="false">IFERROR('Monthly Summary'!C40/C43,0)</f>
        <v>0</v>
      </c>
      <c r="J43" s="35" t="n">
        <f aca="false">IFERROR('Monthly Summary'!G40/E43,0)</f>
        <v>0</v>
      </c>
      <c r="K43" s="34" t="n">
        <f aca="false">'Monthly Summary'!M40</f>
        <v>0</v>
      </c>
      <c r="L43" s="34" t="n">
        <f aca="false">'Monthly Summary'!O40</f>
        <v>0</v>
      </c>
      <c r="M43" s="35" t="n">
        <f aca="false">IFERROR(L43/K43,0)</f>
        <v>0</v>
      </c>
      <c r="N43" s="36" t="n">
        <f aca="false">'Monthly Summary'!P40</f>
        <v>0</v>
      </c>
      <c r="O43" s="36" t="n">
        <f aca="false">IFERROR(N43/L43,0)</f>
        <v>0</v>
      </c>
      <c r="P43" s="41" t="n">
        <f aca="false">'Monthly Summary'!Q40</f>
        <v>0</v>
      </c>
      <c r="Q43" s="34" t="n">
        <f aca="false">IFERROR((C43+E43)/L43,0)</f>
        <v>0</v>
      </c>
    </row>
    <row r="46" customFormat="false" ht="15" hidden="false" customHeight="false" outlineLevel="0" collapsed="false">
      <c r="B46" s="42" t="s">
        <v>85</v>
      </c>
      <c r="C46" s="42"/>
      <c r="D46" s="42"/>
      <c r="E46" s="42"/>
      <c r="F46" s="42"/>
    </row>
    <row r="48" customFormat="false" ht="15" hidden="false" customHeight="false" outlineLevel="0" collapsed="false">
      <c r="B48" s="43" t="s">
        <v>86</v>
      </c>
      <c r="C48" s="43"/>
      <c r="E48" s="43" t="s">
        <v>87</v>
      </c>
      <c r="F48" s="43"/>
    </row>
    <row r="49" customFormat="false" ht="15" hidden="false" customHeight="false" outlineLevel="0" collapsed="false">
      <c r="B49" s="44" t="str">
        <f aca="false">INDEX(B7:B43,MATCH(MAX(N7:N43),N7:N43,0))</f>
        <v>Aug 2025</v>
      </c>
      <c r="C49" s="44"/>
      <c r="E49" s="45" t="n">
        <f aca="false">MAX(N7:N43)</f>
        <v>891</v>
      </c>
      <c r="F49" s="45"/>
    </row>
    <row r="50" customFormat="false" ht="15" hidden="false" customHeight="false" outlineLevel="0" collapsed="false">
      <c r="B50" s="43" t="s">
        <v>88</v>
      </c>
      <c r="C50" s="43"/>
      <c r="E50" s="43" t="s">
        <v>89</v>
      </c>
      <c r="F50" s="43"/>
    </row>
    <row r="51" customFormat="false" ht="15" hidden="false" customHeight="false" outlineLevel="0" collapsed="false">
      <c r="B51" s="44" t="str">
        <f aca="false">INDEX(B7:B43,MATCH(MAX(C7:C43),C7:C43,0))</f>
        <v>Jan 2025</v>
      </c>
      <c r="C51" s="44"/>
      <c r="E51" s="46" t="n">
        <f aca="false">MAX(C7:C43)</f>
        <v>12099</v>
      </c>
      <c r="F51" s="46"/>
    </row>
    <row r="52" customFormat="false" ht="15" hidden="false" customHeight="false" outlineLevel="0" collapsed="false">
      <c r="B52" s="43" t="s">
        <v>90</v>
      </c>
      <c r="C52" s="43"/>
      <c r="E52" s="43" t="s">
        <v>91</v>
      </c>
      <c r="F52" s="43"/>
    </row>
    <row r="53" customFormat="false" ht="15" hidden="false" customHeight="false" outlineLevel="0" collapsed="false">
      <c r="B53" s="46" t="n">
        <f aca="false">SUM(L7:L43)</f>
        <v>9</v>
      </c>
      <c r="C53" s="46"/>
      <c r="E53" s="45" t="n">
        <f aca="false">SUM(N7:N43)</f>
        <v>3198</v>
      </c>
      <c r="F53" s="45"/>
    </row>
    <row r="54" customFormat="false" ht="15" hidden="false" customHeight="false" outlineLevel="0" collapsed="false">
      <c r="B54" s="43" t="s">
        <v>92</v>
      </c>
      <c r="C54" s="43"/>
      <c r="E54" s="43" t="s">
        <v>93</v>
      </c>
      <c r="F54" s="43"/>
    </row>
    <row r="55" customFormat="false" ht="15" hidden="false" customHeight="false" outlineLevel="0" collapsed="false">
      <c r="B55" s="47" t="n">
        <f aca="false">AVERAGE(M7:M43)</f>
        <v>0.00585140589273507</v>
      </c>
      <c r="C55" s="47"/>
      <c r="E55" s="47" t="n">
        <f aca="false">AVERAGE(I7:I43)</f>
        <v>0.234357674335227</v>
      </c>
      <c r="F55" s="47"/>
    </row>
    <row r="56" customFormat="false" ht="15" hidden="false" customHeight="false" outlineLevel="0" collapsed="false">
      <c r="B56" s="43" t="s">
        <v>94</v>
      </c>
      <c r="C56" s="43"/>
      <c r="E56" s="43" t="s">
        <v>95</v>
      </c>
      <c r="F56" s="43"/>
    </row>
    <row r="57" customFormat="false" ht="15" hidden="false" customHeight="false" outlineLevel="0" collapsed="false">
      <c r="B57" s="47" t="n">
        <f aca="false">AVERAGE(J7:J43)</f>
        <v>0.269922167611132</v>
      </c>
      <c r="C57" s="47"/>
      <c r="E57" s="45" t="n">
        <f aca="false">IFERROR(SUM(N7:N43)/SUM(L7:L43),0)</f>
        <v>355.333333333333</v>
      </c>
      <c r="F57" s="45"/>
    </row>
    <row r="61" customFormat="false" ht="15" hidden="false" customHeight="false" outlineLevel="0" collapsed="false">
      <c r="B61" s="48" t="s">
        <v>96</v>
      </c>
    </row>
  </sheetData>
  <mergeCells count="23">
    <mergeCell ref="B2:P2"/>
    <mergeCell ref="B4:P4"/>
    <mergeCell ref="B46:F46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1" min="2" style="1" width="16"/>
  </cols>
  <sheetData>
    <row r="1" customFormat="false" ht="15" hidden="false" customHeight="true" outlineLevel="0" collapsed="false">
      <c r="A1" s="49" t="s">
        <v>97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customFormat="false" ht="41.25" hidden="false" customHeight="true" outlineLevel="0" collapsed="false">
      <c r="A2" s="13" t="s">
        <v>98</v>
      </c>
      <c r="B2" s="13" t="s">
        <v>99</v>
      </c>
      <c r="C2" s="13" t="s">
        <v>100</v>
      </c>
      <c r="D2" s="13" t="s">
        <v>101</v>
      </c>
      <c r="E2" s="13" t="s">
        <v>102</v>
      </c>
      <c r="F2" s="13" t="s">
        <v>103</v>
      </c>
      <c r="G2" s="13" t="s">
        <v>104</v>
      </c>
      <c r="H2" s="13" t="s">
        <v>105</v>
      </c>
      <c r="I2" s="13" t="s">
        <v>106</v>
      </c>
      <c r="J2" s="13" t="s">
        <v>107</v>
      </c>
      <c r="K2" s="13" t="s">
        <v>108</v>
      </c>
    </row>
    <row r="3" customFormat="false" ht="15" hidden="false" customHeight="true" outlineLevel="0" collapsed="false">
      <c r="A3" s="20" t="n">
        <v>45660</v>
      </c>
      <c r="B3" s="21" t="n">
        <v>2200</v>
      </c>
      <c r="C3" s="21" t="n">
        <v>0</v>
      </c>
      <c r="D3" s="21" t="n">
        <v>0</v>
      </c>
      <c r="E3" s="21" t="n">
        <v>11</v>
      </c>
      <c r="F3" s="21" t="n">
        <v>219</v>
      </c>
      <c r="G3" s="21" t="n">
        <v>219</v>
      </c>
      <c r="H3" s="21" t="n">
        <v>0</v>
      </c>
      <c r="I3" s="21" t="n">
        <v>0</v>
      </c>
      <c r="J3" s="21"/>
      <c r="K3" s="21" t="s">
        <v>109</v>
      </c>
    </row>
    <row r="4" customFormat="false" ht="15" hidden="false" customHeight="true" outlineLevel="0" collapsed="false">
      <c r="A4" s="23" t="n">
        <v>45667</v>
      </c>
      <c r="B4" s="24" t="n">
        <v>2200</v>
      </c>
      <c r="C4" s="24" t="n">
        <v>0</v>
      </c>
      <c r="D4" s="24" t="n">
        <v>1</v>
      </c>
      <c r="E4" s="24" t="n">
        <v>9</v>
      </c>
      <c r="F4" s="24" t="n">
        <v>198</v>
      </c>
      <c r="G4" s="24" t="n">
        <v>207</v>
      </c>
      <c r="H4" s="24" t="n">
        <v>0</v>
      </c>
      <c r="I4" s="24" t="n">
        <v>0</v>
      </c>
      <c r="J4" s="24"/>
      <c r="K4" s="24"/>
    </row>
    <row r="5" customFormat="false" ht="15" hidden="false" customHeight="true" outlineLevel="0" collapsed="false">
      <c r="A5" s="20" t="n">
        <v>45674</v>
      </c>
      <c r="B5" s="21" t="n">
        <v>2200</v>
      </c>
      <c r="C5" s="21" t="n">
        <v>0</v>
      </c>
      <c r="D5" s="21" t="n">
        <v>2</v>
      </c>
      <c r="E5" s="21" t="n">
        <v>9</v>
      </c>
      <c r="F5" s="21" t="n">
        <v>199</v>
      </c>
      <c r="G5" s="21" t="n">
        <v>208</v>
      </c>
      <c r="H5" s="21" t="n">
        <v>0</v>
      </c>
      <c r="I5" s="21" t="n">
        <v>0</v>
      </c>
      <c r="J5" s="21"/>
      <c r="K5" s="21"/>
    </row>
    <row r="6" customFormat="false" ht="15" hidden="false" customHeight="true" outlineLevel="0" collapsed="false">
      <c r="A6" s="23" t="n">
        <v>45681</v>
      </c>
      <c r="B6" s="24" t="n">
        <v>2200</v>
      </c>
      <c r="C6" s="24" t="n">
        <v>0</v>
      </c>
      <c r="D6" s="24" t="n">
        <v>1</v>
      </c>
      <c r="E6" s="24" t="n">
        <v>688</v>
      </c>
      <c r="F6" s="24" t="n">
        <v>2783</v>
      </c>
      <c r="G6" s="24" t="n">
        <v>3471</v>
      </c>
      <c r="H6" s="24" t="n">
        <v>0</v>
      </c>
      <c r="I6" s="24" t="n">
        <v>0</v>
      </c>
      <c r="J6" s="24"/>
      <c r="K6" s="24"/>
    </row>
    <row r="7" customFormat="false" ht="15" hidden="false" customHeight="true" outlineLevel="0" collapsed="false">
      <c r="A7" s="20" t="n">
        <v>45688</v>
      </c>
      <c r="B7" s="21" t="n">
        <v>2200</v>
      </c>
      <c r="C7" s="21" t="n">
        <v>0</v>
      </c>
      <c r="D7" s="21" t="n">
        <v>0</v>
      </c>
      <c r="E7" s="21" t="n">
        <v>1291</v>
      </c>
      <c r="F7" s="21" t="n">
        <v>8700</v>
      </c>
      <c r="G7" s="21" t="n">
        <v>9990</v>
      </c>
      <c r="H7" s="21" t="n">
        <v>0</v>
      </c>
      <c r="I7" s="21" t="n">
        <v>0</v>
      </c>
      <c r="J7" s="21"/>
      <c r="K7" s="21"/>
    </row>
    <row r="8" customFormat="false" ht="15" hidden="false" customHeight="true" outlineLevel="0" collapsed="false">
      <c r="A8" s="23" t="n">
        <v>45695</v>
      </c>
      <c r="B8" s="24" t="n">
        <v>2200</v>
      </c>
      <c r="C8" s="24" t="n">
        <v>0</v>
      </c>
      <c r="D8" s="24" t="n">
        <v>0</v>
      </c>
      <c r="E8" s="24" t="n">
        <v>4</v>
      </c>
      <c r="F8" s="24" t="n">
        <v>147</v>
      </c>
      <c r="G8" s="24" t="n">
        <v>151</v>
      </c>
      <c r="H8" s="24" t="n">
        <v>0</v>
      </c>
      <c r="I8" s="24" t="n">
        <v>0</v>
      </c>
      <c r="J8" s="24"/>
      <c r="K8" s="24"/>
    </row>
    <row r="9" customFormat="false" ht="15" hidden="false" customHeight="true" outlineLevel="0" collapsed="false">
      <c r="A9" s="20" t="n">
        <v>45702</v>
      </c>
      <c r="B9" s="21" t="n">
        <v>2200</v>
      </c>
      <c r="C9" s="21" t="n">
        <v>0</v>
      </c>
      <c r="D9" s="21" t="n">
        <v>0</v>
      </c>
      <c r="E9" s="21" t="n">
        <v>2</v>
      </c>
      <c r="F9" s="21" t="n">
        <v>100</v>
      </c>
      <c r="G9" s="21" t="n">
        <v>102</v>
      </c>
      <c r="H9" s="21" t="n">
        <v>0</v>
      </c>
      <c r="I9" s="21" t="n">
        <v>0</v>
      </c>
      <c r="J9" s="21"/>
      <c r="K9" s="21"/>
    </row>
    <row r="10" customFormat="false" ht="15" hidden="false" customHeight="true" outlineLevel="0" collapsed="false">
      <c r="A10" s="23" t="n">
        <v>45709</v>
      </c>
      <c r="B10" s="24" t="n">
        <v>2200</v>
      </c>
      <c r="C10" s="24" t="n">
        <v>0</v>
      </c>
      <c r="D10" s="24" t="n">
        <v>0</v>
      </c>
      <c r="E10" s="24" t="n">
        <v>4</v>
      </c>
      <c r="F10" s="24" t="n">
        <v>26</v>
      </c>
      <c r="G10" s="24" t="n">
        <v>30</v>
      </c>
      <c r="H10" s="24" t="n">
        <v>0</v>
      </c>
      <c r="I10" s="24" t="n">
        <v>0</v>
      </c>
      <c r="J10" s="24"/>
      <c r="K10" s="24"/>
    </row>
    <row r="11" customFormat="false" ht="15" hidden="false" customHeight="true" outlineLevel="0" collapsed="false">
      <c r="A11" s="20" t="n">
        <v>45716</v>
      </c>
      <c r="B11" s="21" t="n">
        <v>2250</v>
      </c>
      <c r="C11" s="21" t="n">
        <v>50</v>
      </c>
      <c r="D11" s="21" t="n">
        <v>0</v>
      </c>
      <c r="E11" s="21" t="n">
        <v>2</v>
      </c>
      <c r="F11" s="21" t="n">
        <v>10</v>
      </c>
      <c r="G11" s="21" t="n">
        <v>12</v>
      </c>
      <c r="H11" s="21" t="n">
        <v>0</v>
      </c>
      <c r="I11" s="21" t="n">
        <v>0</v>
      </c>
      <c r="J11" s="21"/>
      <c r="K11" s="21"/>
    </row>
    <row r="12" customFormat="false" ht="15" hidden="false" customHeight="true" outlineLevel="0" collapsed="false">
      <c r="A12" s="23" t="n">
        <v>45723</v>
      </c>
      <c r="B12" s="24" t="n">
        <v>2250</v>
      </c>
      <c r="C12" s="24" t="n">
        <v>0</v>
      </c>
      <c r="D12" s="24" t="n">
        <v>0</v>
      </c>
      <c r="E12" s="24" t="n">
        <v>3</v>
      </c>
      <c r="F12" s="24" t="n">
        <v>5</v>
      </c>
      <c r="G12" s="24" t="n">
        <v>8</v>
      </c>
      <c r="H12" s="24" t="n">
        <v>0</v>
      </c>
      <c r="I12" s="24" t="n">
        <v>0</v>
      </c>
      <c r="J12" s="24"/>
      <c r="K12" s="24"/>
    </row>
    <row r="13" customFormat="false" ht="15" hidden="false" customHeight="true" outlineLevel="0" collapsed="false">
      <c r="A13" s="20" t="n">
        <v>45730</v>
      </c>
      <c r="B13" s="21" t="n">
        <v>2250</v>
      </c>
      <c r="C13" s="21" t="n">
        <v>0</v>
      </c>
      <c r="D13" s="21" t="n">
        <v>3</v>
      </c>
      <c r="E13" s="21" t="n">
        <v>2</v>
      </c>
      <c r="F13" s="21" t="n">
        <v>101</v>
      </c>
      <c r="G13" s="21" t="n">
        <v>103</v>
      </c>
      <c r="H13" s="21" t="n">
        <v>0</v>
      </c>
      <c r="I13" s="21" t="n">
        <v>0</v>
      </c>
      <c r="J13" s="21"/>
      <c r="K13" s="21"/>
    </row>
    <row r="14" customFormat="false" ht="15" hidden="false" customHeight="true" outlineLevel="0" collapsed="false">
      <c r="A14" s="23" t="n">
        <v>45737</v>
      </c>
      <c r="B14" s="24" t="n">
        <v>2250</v>
      </c>
      <c r="C14" s="24" t="n">
        <v>0</v>
      </c>
      <c r="D14" s="24" t="n">
        <v>2</v>
      </c>
      <c r="E14" s="24" t="n">
        <v>17</v>
      </c>
      <c r="F14" s="24" t="n">
        <v>1164</v>
      </c>
      <c r="G14" s="24" t="n">
        <v>1181</v>
      </c>
      <c r="H14" s="24" t="n">
        <v>0</v>
      </c>
      <c r="I14" s="24" t="n">
        <v>0</v>
      </c>
      <c r="J14" s="24"/>
      <c r="K14" s="24"/>
    </row>
    <row r="15" customFormat="false" ht="15" hidden="false" customHeight="true" outlineLevel="0" collapsed="false">
      <c r="A15" s="20" t="n">
        <v>45744</v>
      </c>
      <c r="B15" s="21" t="n">
        <v>2250</v>
      </c>
      <c r="C15" s="21" t="n">
        <v>0</v>
      </c>
      <c r="D15" s="21" t="n">
        <v>2</v>
      </c>
      <c r="E15" s="21" t="n">
        <v>9</v>
      </c>
      <c r="F15" s="21" t="n">
        <v>1292</v>
      </c>
      <c r="G15" s="21" t="n">
        <v>1301</v>
      </c>
      <c r="H15" s="21" t="n">
        <v>0</v>
      </c>
      <c r="I15" s="21" t="n">
        <v>0</v>
      </c>
      <c r="J15" s="21"/>
      <c r="K15" s="21"/>
    </row>
    <row r="16" customFormat="false" ht="15" hidden="false" customHeight="true" outlineLevel="0" collapsed="false">
      <c r="A16" s="23" t="n">
        <v>45751</v>
      </c>
      <c r="B16" s="24" t="n">
        <v>2250</v>
      </c>
      <c r="C16" s="24" t="n">
        <v>0</v>
      </c>
      <c r="D16" s="24" t="n">
        <v>1</v>
      </c>
      <c r="E16" s="24" t="n">
        <v>7</v>
      </c>
      <c r="F16" s="24" t="n">
        <v>1901</v>
      </c>
      <c r="G16" s="24" t="n">
        <v>1908</v>
      </c>
      <c r="H16" s="24" t="n">
        <v>0</v>
      </c>
      <c r="I16" s="24" t="n">
        <v>0</v>
      </c>
      <c r="J16" s="24"/>
      <c r="K16" s="24"/>
    </row>
    <row r="17" customFormat="false" ht="15" hidden="false" customHeight="true" outlineLevel="0" collapsed="false">
      <c r="A17" s="20" t="n">
        <v>45758</v>
      </c>
      <c r="B17" s="21" t="n">
        <v>2250</v>
      </c>
      <c r="C17" s="21" t="n">
        <v>0</v>
      </c>
      <c r="D17" s="21" t="n">
        <v>2</v>
      </c>
      <c r="E17" s="21" t="n">
        <v>7</v>
      </c>
      <c r="F17" s="21" t="n">
        <v>395</v>
      </c>
      <c r="G17" s="21" t="n">
        <v>404</v>
      </c>
      <c r="H17" s="21" t="n">
        <v>0</v>
      </c>
      <c r="I17" s="21" t="n">
        <v>0</v>
      </c>
      <c r="J17" s="21"/>
      <c r="K17" s="21"/>
    </row>
    <row r="18" customFormat="false" ht="15" hidden="false" customHeight="true" outlineLevel="0" collapsed="false">
      <c r="A18" s="23" t="n">
        <v>45765</v>
      </c>
      <c r="B18" s="24" t="n">
        <v>2250</v>
      </c>
      <c r="C18" s="24" t="n">
        <v>0</v>
      </c>
      <c r="D18" s="24" t="n">
        <v>2</v>
      </c>
      <c r="E18" s="24" t="n">
        <v>71</v>
      </c>
      <c r="F18" s="24" t="n">
        <v>440</v>
      </c>
      <c r="G18" s="24" t="n">
        <v>551</v>
      </c>
      <c r="H18" s="24" t="n">
        <v>0</v>
      </c>
      <c r="I18" s="24" t="n">
        <v>0</v>
      </c>
      <c r="J18" s="24"/>
      <c r="K18" s="24"/>
    </row>
    <row r="19" customFormat="false" ht="15" hidden="false" customHeight="true" outlineLevel="0" collapsed="false">
      <c r="A19" s="20" t="n">
        <v>45772</v>
      </c>
      <c r="B19" s="21" t="n">
        <v>2250</v>
      </c>
      <c r="C19" s="21" t="n">
        <v>0</v>
      </c>
      <c r="D19" s="21" t="n">
        <v>2</v>
      </c>
      <c r="E19" s="21" t="n">
        <v>169</v>
      </c>
      <c r="F19" s="21" t="n">
        <v>806</v>
      </c>
      <c r="G19" s="21" t="n">
        <v>975</v>
      </c>
      <c r="H19" s="21" t="n">
        <v>0</v>
      </c>
      <c r="I19" s="21" t="n">
        <v>0</v>
      </c>
      <c r="J19" s="21"/>
      <c r="K19" s="21"/>
    </row>
    <row r="20" customFormat="false" ht="15" hidden="false" customHeight="true" outlineLevel="0" collapsed="false">
      <c r="A20" s="23" t="n">
        <v>45779</v>
      </c>
      <c r="B20" s="24" t="n">
        <v>2255</v>
      </c>
      <c r="C20" s="24" t="n">
        <v>5</v>
      </c>
      <c r="D20" s="24" t="n">
        <v>1</v>
      </c>
      <c r="E20" s="24" t="n">
        <v>44</v>
      </c>
      <c r="F20" s="24" t="n">
        <v>1193</v>
      </c>
      <c r="G20" s="24" t="n">
        <v>1237</v>
      </c>
      <c r="H20" s="24" t="n">
        <v>0</v>
      </c>
      <c r="I20" s="24" t="n">
        <v>0</v>
      </c>
      <c r="J20" s="24"/>
      <c r="K20" s="24"/>
    </row>
    <row r="21" customFormat="false" ht="15" hidden="false" customHeight="true" outlineLevel="0" collapsed="false">
      <c r="A21" s="20" t="n">
        <v>45786</v>
      </c>
      <c r="B21" s="21" t="n">
        <v>2260</v>
      </c>
      <c r="C21" s="21" t="n">
        <v>5</v>
      </c>
      <c r="D21" s="21" t="n">
        <v>1</v>
      </c>
      <c r="E21" s="21" t="n">
        <v>5</v>
      </c>
      <c r="F21" s="21" t="n">
        <v>33</v>
      </c>
      <c r="G21" s="21" t="n">
        <v>38</v>
      </c>
      <c r="H21" s="21" t="n">
        <v>0</v>
      </c>
      <c r="I21" s="21" t="n">
        <v>0</v>
      </c>
      <c r="J21" s="21"/>
      <c r="K21" s="21"/>
    </row>
    <row r="22" customFormat="false" ht="15" hidden="false" customHeight="true" outlineLevel="0" collapsed="false">
      <c r="A22" s="23" t="n">
        <v>45793</v>
      </c>
      <c r="B22" s="24" t="n">
        <v>2263</v>
      </c>
      <c r="C22" s="24" t="n">
        <v>3</v>
      </c>
      <c r="D22" s="24" t="n">
        <v>1</v>
      </c>
      <c r="E22" s="24" t="n">
        <v>10</v>
      </c>
      <c r="F22" s="24" t="n">
        <v>244</v>
      </c>
      <c r="G22" s="24" t="n">
        <v>255</v>
      </c>
      <c r="H22" s="24" t="n">
        <v>0</v>
      </c>
      <c r="I22" s="24" t="n">
        <v>0</v>
      </c>
      <c r="J22" s="24"/>
      <c r="K22" s="24"/>
    </row>
    <row r="23" customFormat="false" ht="15" hidden="false" customHeight="true" outlineLevel="0" collapsed="false">
      <c r="A23" s="20" t="n">
        <v>45800</v>
      </c>
      <c r="B23" s="21" t="n">
        <v>2266</v>
      </c>
      <c r="C23" s="21" t="n">
        <v>3</v>
      </c>
      <c r="D23" s="21" t="n">
        <v>1</v>
      </c>
      <c r="E23" s="21" t="n">
        <v>5</v>
      </c>
      <c r="F23" s="21" t="n">
        <v>52</v>
      </c>
      <c r="G23" s="21" t="n">
        <v>54</v>
      </c>
      <c r="H23" s="21" t="n">
        <v>0</v>
      </c>
      <c r="I23" s="21" t="n">
        <v>0</v>
      </c>
      <c r="J23" s="21"/>
      <c r="K23" s="21"/>
    </row>
    <row r="24" customFormat="false" ht="15" hidden="false" customHeight="true" outlineLevel="0" collapsed="false">
      <c r="A24" s="23" t="n">
        <v>45807</v>
      </c>
      <c r="B24" s="24" t="n">
        <v>2270</v>
      </c>
      <c r="C24" s="24" t="n">
        <v>4</v>
      </c>
      <c r="D24" s="24" t="n">
        <v>1</v>
      </c>
      <c r="E24" s="24" t="n">
        <v>10</v>
      </c>
      <c r="F24" s="24" t="n">
        <v>50</v>
      </c>
      <c r="G24" s="24" t="n">
        <v>60</v>
      </c>
      <c r="H24" s="24" t="n">
        <v>0</v>
      </c>
      <c r="I24" s="24" t="n">
        <v>0</v>
      </c>
      <c r="J24" s="24"/>
      <c r="K24" s="24"/>
    </row>
    <row r="25" customFormat="false" ht="15" hidden="false" customHeight="true" outlineLevel="0" collapsed="false">
      <c r="A25" s="20" t="n">
        <v>45814</v>
      </c>
      <c r="B25" s="21" t="n">
        <v>2275</v>
      </c>
      <c r="C25" s="21" t="n">
        <v>5</v>
      </c>
      <c r="D25" s="21" t="n">
        <v>1</v>
      </c>
      <c r="E25" s="21" t="n">
        <v>20</v>
      </c>
      <c r="F25" s="21" t="n">
        <v>55</v>
      </c>
      <c r="G25" s="21" t="n">
        <v>75</v>
      </c>
      <c r="H25" s="21" t="n">
        <v>0</v>
      </c>
      <c r="I25" s="21" t="n">
        <v>0</v>
      </c>
      <c r="J25" s="21"/>
      <c r="K25" s="21"/>
    </row>
    <row r="26" customFormat="false" ht="15" hidden="false" customHeight="true" outlineLevel="0" collapsed="false">
      <c r="A26" s="23" t="n">
        <v>45821</v>
      </c>
      <c r="B26" s="24" t="n">
        <v>2279</v>
      </c>
      <c r="C26" s="24" t="n">
        <v>4</v>
      </c>
      <c r="D26" s="24" t="n">
        <v>0</v>
      </c>
      <c r="E26" s="24" t="n">
        <v>11</v>
      </c>
      <c r="F26" s="24" t="n">
        <v>34</v>
      </c>
      <c r="G26" s="24" t="n">
        <v>45</v>
      </c>
      <c r="H26" s="24" t="n">
        <v>0</v>
      </c>
      <c r="I26" s="24" t="n">
        <v>0</v>
      </c>
      <c r="J26" s="24"/>
      <c r="K26" s="24"/>
    </row>
    <row r="27" customFormat="false" ht="15" hidden="false" customHeight="true" outlineLevel="0" collapsed="false">
      <c r="A27" s="20" t="n">
        <v>45828</v>
      </c>
      <c r="B27" s="21" t="n">
        <v>2282</v>
      </c>
      <c r="C27" s="21" t="n">
        <v>3</v>
      </c>
      <c r="D27" s="21" t="n">
        <v>1</v>
      </c>
      <c r="E27" s="21" t="n">
        <v>20</v>
      </c>
      <c r="F27" s="21" t="n">
        <v>56</v>
      </c>
      <c r="G27" s="21" t="n">
        <v>76</v>
      </c>
      <c r="H27" s="21" t="n">
        <v>0</v>
      </c>
      <c r="I27" s="21" t="n">
        <v>0</v>
      </c>
      <c r="J27" s="21"/>
      <c r="K27" s="21"/>
    </row>
    <row r="28" customFormat="false" ht="15" hidden="false" customHeight="true" outlineLevel="0" collapsed="false">
      <c r="A28" s="23" t="n">
        <v>45835</v>
      </c>
      <c r="B28" s="24" t="n">
        <v>2286</v>
      </c>
      <c r="C28" s="24" t="n">
        <v>4</v>
      </c>
      <c r="D28" s="24" t="n">
        <v>0</v>
      </c>
      <c r="E28" s="24" t="n">
        <v>22</v>
      </c>
      <c r="F28" s="24" t="n">
        <v>50</v>
      </c>
      <c r="G28" s="24" t="n">
        <v>72</v>
      </c>
      <c r="H28" s="24" t="n">
        <v>0</v>
      </c>
      <c r="I28" s="24" t="n">
        <v>0</v>
      </c>
      <c r="J28" s="24"/>
      <c r="K28" s="24"/>
    </row>
    <row r="29" customFormat="false" ht="15" hidden="false" customHeight="true" outlineLevel="0" collapsed="false">
      <c r="A29" s="20" t="n">
        <v>45842</v>
      </c>
      <c r="B29" s="21" t="n">
        <v>2250</v>
      </c>
      <c r="C29" s="21" t="n">
        <v>-36</v>
      </c>
      <c r="D29" s="21" t="n">
        <v>2</v>
      </c>
      <c r="E29" s="21" t="n">
        <v>59</v>
      </c>
      <c r="F29" s="21" t="n">
        <v>34</v>
      </c>
      <c r="G29" s="21" t="n">
        <v>93</v>
      </c>
      <c r="H29" s="21" t="n">
        <v>0</v>
      </c>
      <c r="I29" s="21" t="n">
        <v>0</v>
      </c>
      <c r="J29" s="21"/>
      <c r="K29" s="21"/>
    </row>
    <row r="30" customFormat="false" ht="15" hidden="false" customHeight="true" outlineLevel="0" collapsed="false">
      <c r="A30" s="23" t="n">
        <v>45849</v>
      </c>
      <c r="B30" s="24" t="n">
        <v>2255</v>
      </c>
      <c r="C30" s="24" t="n">
        <v>5</v>
      </c>
      <c r="D30" s="24" t="n">
        <v>1</v>
      </c>
      <c r="E30" s="24" t="n">
        <v>23</v>
      </c>
      <c r="F30" s="24" t="n">
        <v>32</v>
      </c>
      <c r="G30" s="24" t="n">
        <v>55</v>
      </c>
      <c r="H30" s="24" t="n">
        <v>0</v>
      </c>
      <c r="I30" s="24" t="n">
        <v>0</v>
      </c>
      <c r="J30" s="24"/>
      <c r="K30" s="24"/>
    </row>
    <row r="31" customFormat="false" ht="15" hidden="false" customHeight="true" outlineLevel="0" collapsed="false">
      <c r="A31" s="20" t="n">
        <v>45856</v>
      </c>
      <c r="B31" s="21" t="n">
        <v>2260</v>
      </c>
      <c r="C31" s="21" t="n">
        <v>5</v>
      </c>
      <c r="D31" s="21" t="n">
        <v>0</v>
      </c>
      <c r="E31" s="21" t="n">
        <v>25</v>
      </c>
      <c r="F31" s="21" t="n">
        <v>43</v>
      </c>
      <c r="G31" s="21" t="n">
        <v>68</v>
      </c>
      <c r="H31" s="21" t="n">
        <v>0</v>
      </c>
      <c r="I31" s="21" t="n">
        <v>0</v>
      </c>
      <c r="J31" s="21"/>
      <c r="K31" s="21"/>
    </row>
    <row r="32" customFormat="false" ht="15" hidden="false" customHeight="true" outlineLevel="0" collapsed="false">
      <c r="A32" s="23" t="n">
        <v>45863</v>
      </c>
      <c r="B32" s="24" t="n">
        <v>2263</v>
      </c>
      <c r="C32" s="24" t="n">
        <v>3</v>
      </c>
      <c r="D32" s="24" t="n">
        <v>1</v>
      </c>
      <c r="E32" s="24" t="n">
        <v>24</v>
      </c>
      <c r="F32" s="24" t="n">
        <v>23</v>
      </c>
      <c r="G32" s="24" t="n">
        <v>47</v>
      </c>
      <c r="H32" s="24" t="n">
        <v>0</v>
      </c>
      <c r="I32" s="24" t="n">
        <v>0</v>
      </c>
      <c r="J32" s="24"/>
      <c r="K32" s="24"/>
    </row>
    <row r="33" customFormat="false" ht="15" hidden="false" customHeight="true" outlineLevel="0" collapsed="false">
      <c r="A33" s="20" t="n">
        <v>45870</v>
      </c>
      <c r="B33" s="21" t="n">
        <v>2266</v>
      </c>
      <c r="C33" s="21" t="n">
        <v>3</v>
      </c>
      <c r="D33" s="21" t="n">
        <v>0</v>
      </c>
      <c r="E33" s="21" t="n">
        <v>22</v>
      </c>
      <c r="F33" s="21" t="n">
        <v>45</v>
      </c>
      <c r="G33" s="21" t="n">
        <v>67</v>
      </c>
      <c r="H33" s="21" t="n">
        <v>0</v>
      </c>
      <c r="I33" s="21" t="n">
        <v>0</v>
      </c>
      <c r="J33" s="21"/>
      <c r="K33" s="21"/>
    </row>
    <row r="34" customFormat="false" ht="15" hidden="false" customHeight="true" outlineLevel="0" collapsed="false">
      <c r="A34" s="23" t="n">
        <v>45877</v>
      </c>
      <c r="B34" s="24" t="n">
        <v>2270</v>
      </c>
      <c r="C34" s="24" t="n">
        <v>4</v>
      </c>
      <c r="D34" s="24" t="n">
        <v>0</v>
      </c>
      <c r="E34" s="24" t="n">
        <v>11</v>
      </c>
      <c r="F34" s="24" t="n">
        <v>24</v>
      </c>
      <c r="G34" s="24" t="n">
        <v>35</v>
      </c>
      <c r="H34" s="24" t="n">
        <v>0</v>
      </c>
      <c r="I34" s="24" t="n">
        <v>0</v>
      </c>
      <c r="J34" s="24"/>
      <c r="K34" s="24"/>
    </row>
    <row r="35" customFormat="false" ht="15" hidden="false" customHeight="true" outlineLevel="0" collapsed="false">
      <c r="A35" s="20" t="n">
        <v>45884</v>
      </c>
      <c r="B35" s="21" t="n">
        <v>2260</v>
      </c>
      <c r="C35" s="21" t="n">
        <v>-10</v>
      </c>
      <c r="D35" s="21" t="n">
        <v>0</v>
      </c>
      <c r="E35" s="21" t="n">
        <v>10</v>
      </c>
      <c r="F35" s="21" t="n">
        <v>23</v>
      </c>
      <c r="G35" s="21" t="n">
        <v>33</v>
      </c>
      <c r="H35" s="21" t="n">
        <v>0</v>
      </c>
      <c r="I35" s="21" t="n">
        <v>0</v>
      </c>
      <c r="J35" s="21"/>
      <c r="K35" s="21"/>
    </row>
    <row r="36" customFormat="false" ht="15" hidden="false" customHeight="true" outlineLevel="0" collapsed="false">
      <c r="A36" s="23" t="n">
        <v>45891</v>
      </c>
      <c r="B36" s="24" t="n">
        <v>2263</v>
      </c>
      <c r="C36" s="24" t="n">
        <v>3</v>
      </c>
      <c r="D36" s="24" t="n">
        <v>1</v>
      </c>
      <c r="E36" s="24" t="n">
        <v>53</v>
      </c>
      <c r="F36" s="24" t="n">
        <v>1</v>
      </c>
      <c r="G36" s="24" t="n">
        <v>54</v>
      </c>
      <c r="H36" s="24" t="n">
        <v>0</v>
      </c>
      <c r="I36" s="24" t="n">
        <v>0</v>
      </c>
      <c r="J36" s="24"/>
      <c r="K36" s="24"/>
    </row>
    <row r="37" customFormat="false" ht="15" hidden="false" customHeight="true" outlineLevel="0" collapsed="false">
      <c r="A37" s="20" t="n">
        <v>45898</v>
      </c>
      <c r="B37" s="21" t="n">
        <v>2266</v>
      </c>
      <c r="C37" s="21" t="n">
        <v>3</v>
      </c>
      <c r="D37" s="21" t="n">
        <v>0</v>
      </c>
      <c r="E37" s="21" t="n">
        <v>43</v>
      </c>
      <c r="F37" s="21" t="n">
        <v>10</v>
      </c>
      <c r="G37" s="21" t="n">
        <v>53</v>
      </c>
      <c r="H37" s="21" t="n">
        <v>0</v>
      </c>
      <c r="I37" s="21" t="n">
        <v>0</v>
      </c>
      <c r="J37" s="21"/>
      <c r="K37" s="21"/>
    </row>
    <row r="38" customFormat="false" ht="15" hidden="false" customHeight="true" outlineLevel="0" collapsed="false">
      <c r="A38" s="23" t="n">
        <v>45905</v>
      </c>
      <c r="B38" s="24" t="n">
        <v>2270</v>
      </c>
      <c r="C38" s="24" t="n">
        <v>4</v>
      </c>
      <c r="D38" s="24" t="n">
        <v>0</v>
      </c>
      <c r="E38" s="24" t="n">
        <v>38</v>
      </c>
      <c r="F38" s="24" t="n">
        <v>9</v>
      </c>
      <c r="G38" s="24" t="n">
        <v>47</v>
      </c>
      <c r="H38" s="24" t="n">
        <v>0</v>
      </c>
      <c r="I38" s="24" t="n">
        <v>0</v>
      </c>
      <c r="J38" s="24"/>
      <c r="K38" s="24"/>
    </row>
    <row r="39" customFormat="false" ht="15" hidden="false" customHeight="true" outlineLevel="0" collapsed="false">
      <c r="A39" s="20" t="n">
        <v>45912</v>
      </c>
      <c r="B39" s="21" t="n">
        <v>2375</v>
      </c>
      <c r="C39" s="21" t="n">
        <v>105</v>
      </c>
      <c r="D39" s="21" t="n">
        <v>0</v>
      </c>
      <c r="E39" s="21" t="n">
        <v>43</v>
      </c>
      <c r="F39" s="21" t="n">
        <v>12</v>
      </c>
      <c r="G39" s="21" t="n">
        <v>55</v>
      </c>
      <c r="H39" s="21" t="n">
        <v>0</v>
      </c>
      <c r="I39" s="21" t="n">
        <v>0</v>
      </c>
      <c r="J39" s="21"/>
      <c r="K39" s="21"/>
    </row>
    <row r="40" customFormat="false" ht="15" hidden="false" customHeight="true" outlineLevel="0" collapsed="false">
      <c r="A40" s="23" t="n">
        <v>45919</v>
      </c>
      <c r="B40" s="24" t="n">
        <v>2379</v>
      </c>
      <c r="C40" s="24" t="n">
        <v>4</v>
      </c>
      <c r="D40" s="24" t="n">
        <v>1</v>
      </c>
      <c r="E40" s="24" t="n">
        <v>40</v>
      </c>
      <c r="F40" s="24" t="n">
        <v>13</v>
      </c>
      <c r="G40" s="24" t="n">
        <v>53</v>
      </c>
      <c r="H40" s="24" t="n">
        <v>0</v>
      </c>
      <c r="I40" s="24" t="n">
        <v>0</v>
      </c>
      <c r="J40" s="24"/>
      <c r="K40" s="24"/>
    </row>
    <row r="41" customFormat="false" ht="15" hidden="false" customHeight="true" outlineLevel="0" collapsed="false">
      <c r="A41" s="20" t="n">
        <v>45926</v>
      </c>
      <c r="B41" s="21" t="n">
        <v>2390</v>
      </c>
      <c r="C41" s="21" t="n">
        <v>11</v>
      </c>
      <c r="D41" s="21" t="n">
        <v>2</v>
      </c>
      <c r="E41" s="21" t="n">
        <v>5</v>
      </c>
      <c r="F41" s="21" t="n">
        <v>14</v>
      </c>
      <c r="G41" s="21" t="n">
        <v>19</v>
      </c>
      <c r="H41" s="21" t="n">
        <v>0</v>
      </c>
      <c r="I41" s="21" t="n">
        <v>0</v>
      </c>
      <c r="J41" s="21"/>
      <c r="K41" s="21"/>
    </row>
    <row r="42" customFormat="false" ht="15" hidden="false" customHeight="true" outlineLevel="0" collapsed="false">
      <c r="A42" s="23" t="n">
        <v>45933</v>
      </c>
      <c r="B42" s="24" t="n">
        <v>2393</v>
      </c>
      <c r="C42" s="24" t="n">
        <v>3</v>
      </c>
      <c r="D42" s="24" t="n">
        <v>0</v>
      </c>
      <c r="E42" s="24" t="n">
        <v>5</v>
      </c>
      <c r="F42" s="24" t="n">
        <v>11</v>
      </c>
      <c r="G42" s="24" t="n">
        <v>16</v>
      </c>
      <c r="H42" s="24" t="n">
        <v>0</v>
      </c>
      <c r="I42" s="24" t="n">
        <v>0</v>
      </c>
      <c r="J42" s="24"/>
      <c r="K42" s="24"/>
    </row>
    <row r="43" customFormat="false" ht="15" hidden="false" customHeight="true" outlineLevel="0" collapsed="false">
      <c r="A43" s="20" t="n">
        <v>45940</v>
      </c>
      <c r="B43" s="21" t="n">
        <v>2390</v>
      </c>
      <c r="C43" s="21" t="n">
        <v>-3</v>
      </c>
      <c r="D43" s="21" t="n">
        <v>1</v>
      </c>
      <c r="E43" s="21" t="n">
        <v>10</v>
      </c>
      <c r="F43" s="21" t="n">
        <v>12</v>
      </c>
      <c r="G43" s="21" t="n">
        <v>22</v>
      </c>
      <c r="H43" s="21" t="n">
        <v>0</v>
      </c>
      <c r="I43" s="21" t="n">
        <v>0</v>
      </c>
      <c r="J43" s="21"/>
      <c r="K43" s="21"/>
    </row>
    <row r="44" customFormat="false" ht="15" hidden="false" customHeight="true" outlineLevel="0" collapsed="false">
      <c r="A44" s="23" t="n">
        <v>45947</v>
      </c>
      <c r="B44" s="24" t="n">
        <v>2370</v>
      </c>
      <c r="C44" s="24" t="n">
        <v>-20</v>
      </c>
      <c r="D44" s="24" t="n">
        <v>0</v>
      </c>
      <c r="E44" s="24" t="n">
        <v>12</v>
      </c>
      <c r="F44" s="24" t="n">
        <v>13</v>
      </c>
      <c r="G44" s="24" t="n">
        <v>25</v>
      </c>
      <c r="H44" s="24" t="n">
        <v>0</v>
      </c>
      <c r="I44" s="24" t="n">
        <v>0</v>
      </c>
      <c r="J44" s="24"/>
      <c r="K44" s="24"/>
    </row>
    <row r="45" customFormat="false" ht="15" hidden="false" customHeight="true" outlineLevel="0" collapsed="false">
      <c r="A45" s="20" t="n">
        <v>45954</v>
      </c>
      <c r="B45" s="21" t="n">
        <v>2371</v>
      </c>
      <c r="C45" s="21" t="n">
        <v>1</v>
      </c>
      <c r="D45" s="21" t="n">
        <v>0</v>
      </c>
      <c r="E45" s="21" t="n">
        <v>15</v>
      </c>
      <c r="F45" s="21" t="n">
        <v>100</v>
      </c>
      <c r="G45" s="21" t="n">
        <v>115</v>
      </c>
      <c r="H45" s="21" t="n">
        <v>0</v>
      </c>
      <c r="I45" s="21" t="n">
        <v>0</v>
      </c>
      <c r="J45" s="21"/>
      <c r="K45" s="21"/>
    </row>
    <row r="46" customFormat="false" ht="15" hidden="false" customHeight="true" outlineLevel="0" collapsed="false">
      <c r="A46" s="23" t="n">
        <v>45961</v>
      </c>
      <c r="B46" s="24" t="n">
        <v>2374</v>
      </c>
      <c r="C46" s="24" t="n">
        <v>3</v>
      </c>
      <c r="D46" s="24" t="n">
        <v>0</v>
      </c>
      <c r="E46" s="24" t="n">
        <v>13</v>
      </c>
      <c r="F46" s="24" t="n">
        <v>90</v>
      </c>
      <c r="G46" s="24" t="n">
        <v>103</v>
      </c>
      <c r="H46" s="24" t="n">
        <v>0</v>
      </c>
      <c r="I46" s="24" t="n">
        <v>0</v>
      </c>
      <c r="J46" s="24"/>
      <c r="K46" s="24"/>
    </row>
    <row r="47" customFormat="false" ht="15" hidden="false" customHeight="true" outlineLevel="0" collapsed="false">
      <c r="A47" s="20" t="n">
        <v>45968</v>
      </c>
      <c r="B47" s="21" t="n">
        <v>2380</v>
      </c>
      <c r="C47" s="21" t="n">
        <v>6</v>
      </c>
      <c r="D47" s="21" t="n">
        <v>1</v>
      </c>
      <c r="E47" s="21" t="n">
        <v>7</v>
      </c>
      <c r="F47" s="21" t="n">
        <v>200</v>
      </c>
      <c r="G47" s="21" t="n">
        <v>207</v>
      </c>
      <c r="H47" s="21" t="n">
        <v>0</v>
      </c>
      <c r="I47" s="21" t="n">
        <v>0</v>
      </c>
      <c r="J47" s="21"/>
      <c r="K47" s="21"/>
    </row>
    <row r="48" customFormat="false" ht="15" hidden="false" customHeight="true" outlineLevel="0" collapsed="false">
      <c r="A48" s="23" t="n">
        <v>45975</v>
      </c>
      <c r="B48" s="24" t="n">
        <v>2382</v>
      </c>
      <c r="C48" s="24" t="n">
        <v>8</v>
      </c>
      <c r="D48" s="24" t="n">
        <v>0</v>
      </c>
      <c r="E48" s="24" t="n">
        <v>4</v>
      </c>
      <c r="F48" s="24" t="n">
        <v>90</v>
      </c>
      <c r="G48" s="24" t="n">
        <v>94</v>
      </c>
      <c r="H48" s="24" t="n">
        <v>0</v>
      </c>
      <c r="I48" s="24" t="n">
        <v>0</v>
      </c>
      <c r="J48" s="24"/>
      <c r="K48" s="24"/>
    </row>
    <row r="49" customFormat="false" ht="15" hidden="false" customHeight="true" outlineLevel="0" collapsed="false">
      <c r="A49" s="20" t="n">
        <v>45982</v>
      </c>
      <c r="B49" s="21" t="n">
        <v>2385.3</v>
      </c>
      <c r="C49" s="21" t="n">
        <v>10</v>
      </c>
      <c r="D49" s="21" t="n">
        <v>1</v>
      </c>
      <c r="E49" s="21" t="n">
        <v>5</v>
      </c>
      <c r="F49" s="21" t="n">
        <v>70</v>
      </c>
      <c r="G49" s="21" t="n">
        <v>75</v>
      </c>
      <c r="H49" s="21" t="n">
        <v>0</v>
      </c>
      <c r="I49" s="21" t="n">
        <v>0</v>
      </c>
      <c r="J49" s="21"/>
      <c r="K49" s="21"/>
    </row>
    <row r="50" customFormat="false" ht="15" hidden="false" customHeight="true" outlineLevel="0" collapsed="false">
      <c r="A50" s="23" t="n">
        <v>45989</v>
      </c>
      <c r="B50" s="24" t="n">
        <v>2388.6</v>
      </c>
      <c r="C50" s="24" t="n">
        <v>11</v>
      </c>
      <c r="D50" s="24" t="n">
        <v>0</v>
      </c>
      <c r="E50" s="24" t="n">
        <v>7</v>
      </c>
      <c r="F50" s="24" t="n">
        <v>24</v>
      </c>
      <c r="G50" s="24" t="n">
        <v>34</v>
      </c>
      <c r="H50" s="24" t="n">
        <v>0</v>
      </c>
      <c r="I50" s="24" t="n">
        <v>0</v>
      </c>
      <c r="J50" s="24"/>
      <c r="K50" s="24"/>
    </row>
    <row r="51" customFormat="false" ht="15" hidden="false" customHeight="true" outlineLevel="0" collapsed="false">
      <c r="A51" s="20" t="n">
        <v>45996</v>
      </c>
      <c r="B51" s="21" t="n">
        <v>2391.9</v>
      </c>
      <c r="C51" s="21" t="n">
        <v>15</v>
      </c>
      <c r="D51" s="21" t="n">
        <v>0</v>
      </c>
      <c r="E51" s="21" t="n">
        <v>9</v>
      </c>
      <c r="F51" s="21" t="n">
        <v>40</v>
      </c>
      <c r="G51" s="21" t="n">
        <v>49</v>
      </c>
      <c r="H51" s="21" t="n">
        <v>0</v>
      </c>
      <c r="I51" s="21" t="n">
        <v>0</v>
      </c>
      <c r="J51" s="21"/>
      <c r="K51" s="21"/>
    </row>
    <row r="52" customFormat="false" ht="15" hidden="false" customHeight="true" outlineLevel="0" collapsed="false">
      <c r="A52" s="23" t="n">
        <v>46003</v>
      </c>
      <c r="B52" s="24" t="n">
        <v>2395.2</v>
      </c>
      <c r="C52" s="24" t="n">
        <v>17</v>
      </c>
      <c r="D52" s="24" t="n">
        <v>0</v>
      </c>
      <c r="E52" s="24" t="n">
        <v>1</v>
      </c>
      <c r="F52" s="24" t="n">
        <v>30</v>
      </c>
      <c r="G52" s="24" t="n">
        <v>31</v>
      </c>
      <c r="H52" s="24" t="n">
        <v>0</v>
      </c>
      <c r="I52" s="24" t="n">
        <v>0</v>
      </c>
      <c r="J52" s="24"/>
      <c r="K52" s="24"/>
    </row>
    <row r="53" customFormat="false" ht="15" hidden="false" customHeight="true" outlineLevel="0" collapsed="false">
      <c r="A53" s="20" t="n">
        <v>46010</v>
      </c>
      <c r="B53" s="21" t="n">
        <v>2390</v>
      </c>
      <c r="C53" s="21" t="n">
        <v>12</v>
      </c>
      <c r="D53" s="21" t="n">
        <v>0</v>
      </c>
      <c r="E53" s="21" t="n">
        <v>3</v>
      </c>
      <c r="F53" s="21" t="n">
        <v>40</v>
      </c>
      <c r="G53" s="21" t="n">
        <v>43</v>
      </c>
      <c r="H53" s="21" t="n">
        <v>0</v>
      </c>
      <c r="I53" s="21" t="n">
        <v>0</v>
      </c>
      <c r="J53" s="21"/>
      <c r="K53" s="21"/>
    </row>
    <row r="54" customFormat="false" ht="15" hidden="false" customHeight="true" outlineLevel="0" collapsed="false">
      <c r="A54" s="23" t="n">
        <v>46017</v>
      </c>
      <c r="B54" s="24" t="n">
        <v>2395</v>
      </c>
      <c r="C54" s="24" t="n">
        <v>5</v>
      </c>
      <c r="D54" s="24" t="n">
        <v>0</v>
      </c>
      <c r="E54" s="24" t="n">
        <v>4</v>
      </c>
      <c r="F54" s="24" t="n">
        <v>20</v>
      </c>
      <c r="G54" s="24" t="n">
        <v>24</v>
      </c>
      <c r="H54" s="24" t="n">
        <v>0</v>
      </c>
      <c r="I54" s="24" t="n">
        <v>0</v>
      </c>
      <c r="J54" s="24"/>
      <c r="K54" s="24"/>
    </row>
    <row r="55" customFormat="false" ht="15" hidden="false" customHeight="true" outlineLevel="0" collapsed="false">
      <c r="A55" s="20" t="n">
        <v>46024</v>
      </c>
      <c r="B55" s="21" t="n">
        <v>2396</v>
      </c>
      <c r="C55" s="21" t="n">
        <v>1</v>
      </c>
      <c r="D55" s="21" t="n">
        <v>1</v>
      </c>
      <c r="E55" s="21" t="n">
        <v>3</v>
      </c>
      <c r="F55" s="21" t="n">
        <v>25</v>
      </c>
      <c r="G55" s="21" t="n">
        <v>28</v>
      </c>
      <c r="H55" s="21" t="n">
        <v>0</v>
      </c>
      <c r="I55" s="21" t="n">
        <v>0</v>
      </c>
      <c r="J55" s="21"/>
      <c r="K55" s="21"/>
    </row>
    <row r="56" customFormat="false" ht="15" hidden="false" customHeight="true" outlineLevel="0" collapsed="false">
      <c r="A56" s="23" t="n">
        <v>46031</v>
      </c>
      <c r="B56" s="24" t="n">
        <v>2399</v>
      </c>
      <c r="C56" s="24" t="n">
        <v>3</v>
      </c>
      <c r="D56" s="24" t="n">
        <v>0</v>
      </c>
      <c r="E56" s="24" t="n">
        <v>2</v>
      </c>
      <c r="F56" s="24" t="n">
        <v>23</v>
      </c>
      <c r="G56" s="24" t="n">
        <v>25</v>
      </c>
      <c r="H56" s="24" t="n">
        <v>0</v>
      </c>
      <c r="I56" s="24" t="n">
        <v>0</v>
      </c>
      <c r="J56" s="24"/>
      <c r="K56" s="24"/>
    </row>
    <row r="57" customFormat="false" ht="15" hidden="false" customHeight="true" outlineLevel="0" collapsed="false">
      <c r="A57" s="20" t="n">
        <v>46038</v>
      </c>
      <c r="B57" s="21" t="n">
        <v>2399</v>
      </c>
      <c r="C57" s="21" t="n">
        <v>0</v>
      </c>
      <c r="D57" s="21" t="n">
        <v>0</v>
      </c>
      <c r="E57" s="21" t="n">
        <v>3</v>
      </c>
      <c r="F57" s="21" t="n">
        <v>30</v>
      </c>
      <c r="G57" s="21" t="n">
        <v>33</v>
      </c>
      <c r="H57" s="21" t="n">
        <v>0</v>
      </c>
      <c r="I57" s="21" t="n">
        <v>0</v>
      </c>
      <c r="J57" s="21"/>
      <c r="K57" s="21"/>
    </row>
    <row r="58" customFormat="false" ht="15" hidden="false" customHeight="true" outlineLevel="0" collapsed="false">
      <c r="A58" s="23" t="n">
        <v>46045</v>
      </c>
      <c r="B58" s="24" t="n">
        <v>2399</v>
      </c>
      <c r="C58" s="24" t="n">
        <v>0</v>
      </c>
      <c r="D58" s="24" t="n">
        <v>0</v>
      </c>
      <c r="E58" s="24" t="n">
        <v>5</v>
      </c>
      <c r="F58" s="24" t="n">
        <v>25</v>
      </c>
      <c r="G58" s="24" t="n">
        <v>30</v>
      </c>
      <c r="H58" s="24" t="n">
        <v>0</v>
      </c>
      <c r="I58" s="24" t="n">
        <v>0</v>
      </c>
      <c r="J58" s="24"/>
      <c r="K58" s="24"/>
    </row>
    <row r="59" customFormat="false" ht="15" hidden="false" customHeight="true" outlineLevel="0" collapsed="false">
      <c r="A59" s="20" t="n">
        <v>46052</v>
      </c>
      <c r="B59" s="21" t="n">
        <v>2399</v>
      </c>
      <c r="C59" s="21" t="n">
        <v>0</v>
      </c>
      <c r="D59" s="21" t="n">
        <v>1</v>
      </c>
      <c r="E59" s="21" t="n">
        <v>2</v>
      </c>
      <c r="F59" s="21" t="n">
        <v>20</v>
      </c>
      <c r="G59" s="21" t="n">
        <v>22</v>
      </c>
      <c r="H59" s="21" t="n">
        <v>0</v>
      </c>
      <c r="I59" s="21" t="n">
        <v>0</v>
      </c>
      <c r="J59" s="21"/>
      <c r="K59" s="21"/>
    </row>
    <row r="60" customFormat="false" ht="15" hidden="false" customHeight="true" outlineLevel="0" collapsed="false">
      <c r="A60" s="23" t="n">
        <v>46059</v>
      </c>
      <c r="B60" s="24" t="n">
        <v>2399</v>
      </c>
      <c r="C60" s="24" t="n">
        <v>0</v>
      </c>
      <c r="D60" s="24" t="n">
        <v>1</v>
      </c>
      <c r="E60" s="24" t="n">
        <v>6</v>
      </c>
      <c r="F60" s="24" t="n">
        <v>40</v>
      </c>
      <c r="G60" s="24" t="n">
        <v>46</v>
      </c>
      <c r="H60" s="24" t="n">
        <v>0</v>
      </c>
      <c r="I60" s="24" t="n">
        <v>0</v>
      </c>
      <c r="J60" s="24"/>
      <c r="K60" s="24"/>
    </row>
    <row r="61" customFormat="false" ht="15" hidden="false" customHeight="true" outlineLevel="0" collapsed="false">
      <c r="A61" s="20" t="n">
        <v>46066</v>
      </c>
      <c r="B61" s="21" t="n">
        <v>2399</v>
      </c>
      <c r="C61" s="21" t="n">
        <v>0</v>
      </c>
      <c r="D61" s="21" t="n">
        <v>0</v>
      </c>
      <c r="E61" s="21" t="n">
        <v>8</v>
      </c>
      <c r="F61" s="21" t="n">
        <v>34</v>
      </c>
      <c r="G61" s="21" t="n">
        <v>42</v>
      </c>
      <c r="H61" s="21" t="n">
        <v>0</v>
      </c>
      <c r="I61" s="21" t="n">
        <v>0</v>
      </c>
      <c r="J61" s="21"/>
      <c r="K61" s="21"/>
    </row>
    <row r="62" customFormat="false" ht="15" hidden="false" customHeight="true" outlineLevel="0" collapsed="false">
      <c r="A62" s="23" t="n">
        <v>46073</v>
      </c>
      <c r="B62" s="24" t="n">
        <v>2399</v>
      </c>
      <c r="C62" s="24" t="n">
        <v>0</v>
      </c>
      <c r="D62" s="24" t="n">
        <v>1</v>
      </c>
      <c r="E62" s="24" t="n">
        <v>9</v>
      </c>
      <c r="F62" s="24" t="n">
        <v>26</v>
      </c>
      <c r="G62" s="24" t="n">
        <v>35</v>
      </c>
      <c r="H62" s="24" t="n">
        <v>0</v>
      </c>
      <c r="I62" s="24" t="n">
        <v>0</v>
      </c>
      <c r="J62" s="24"/>
      <c r="K62" s="24"/>
    </row>
    <row r="63" customFormat="false" ht="15" hidden="false" customHeight="true" outlineLevel="0" collapsed="false">
      <c r="A63" s="20" t="n">
        <v>46080</v>
      </c>
      <c r="B63" s="21" t="n">
        <v>2399</v>
      </c>
      <c r="C63" s="21" t="n">
        <v>0</v>
      </c>
      <c r="D63" s="21" t="n">
        <v>0</v>
      </c>
      <c r="E63" s="21" t="n">
        <v>3</v>
      </c>
      <c r="F63" s="21" t="n">
        <v>23</v>
      </c>
      <c r="G63" s="21" t="n">
        <v>26</v>
      </c>
      <c r="H63" s="21" t="n">
        <v>0</v>
      </c>
      <c r="I63" s="21" t="n">
        <v>0</v>
      </c>
      <c r="J63" s="21"/>
      <c r="K63" s="21"/>
    </row>
    <row r="64" customFormat="false" ht="15" hidden="false" customHeight="true" outlineLevel="0" collapsed="false">
      <c r="A64" s="23" t="n">
        <v>46087</v>
      </c>
      <c r="B64" s="24" t="n">
        <v>2399</v>
      </c>
      <c r="C64" s="24" t="n">
        <v>0</v>
      </c>
      <c r="D64" s="24" t="n">
        <v>1</v>
      </c>
      <c r="E64" s="24" t="n">
        <v>8</v>
      </c>
      <c r="F64" s="24" t="n">
        <v>20</v>
      </c>
      <c r="G64" s="24" t="n">
        <v>28</v>
      </c>
      <c r="H64" s="24" t="n">
        <v>0</v>
      </c>
      <c r="I64" s="24" t="n">
        <v>0</v>
      </c>
      <c r="J64" s="24"/>
      <c r="K64" s="24"/>
    </row>
    <row r="65" customFormat="false" ht="15" hidden="false" customHeight="true" outlineLevel="0" collapsed="false">
      <c r="A65" s="20" t="n">
        <v>46094</v>
      </c>
      <c r="B65" s="21" t="n">
        <v>2399</v>
      </c>
      <c r="C65" s="21" t="n">
        <v>0</v>
      </c>
      <c r="D65" s="21" t="n">
        <v>0</v>
      </c>
      <c r="E65" s="21" t="n">
        <v>9</v>
      </c>
      <c r="F65" s="21" t="n">
        <v>15</v>
      </c>
      <c r="G65" s="21" t="n">
        <v>24</v>
      </c>
      <c r="H65" s="21" t="n">
        <v>0</v>
      </c>
      <c r="I65" s="21" t="n">
        <v>0</v>
      </c>
      <c r="J65" s="21"/>
      <c r="K65" s="21"/>
    </row>
    <row r="66" customFormat="false" ht="15" hidden="false" customHeight="true" outlineLevel="0" collapsed="false">
      <c r="A66" s="23" t="n">
        <v>46101</v>
      </c>
      <c r="B66" s="24" t="n">
        <v>2399</v>
      </c>
      <c r="C66" s="24" t="n">
        <v>0</v>
      </c>
      <c r="D66" s="24" t="n">
        <v>0</v>
      </c>
      <c r="E66" s="24" t="n">
        <v>12</v>
      </c>
      <c r="F66" s="24" t="n">
        <v>13</v>
      </c>
      <c r="G66" s="24" t="n">
        <v>25</v>
      </c>
      <c r="H66" s="24" t="n">
        <v>0</v>
      </c>
      <c r="I66" s="24" t="n">
        <v>0</v>
      </c>
      <c r="J66" s="24"/>
      <c r="K66" s="24"/>
    </row>
    <row r="67" customFormat="false" ht="15" hidden="false" customHeight="true" outlineLevel="0" collapsed="false">
      <c r="A67" s="20" t="n">
        <v>46108</v>
      </c>
      <c r="B67" s="21" t="n">
        <v>2399</v>
      </c>
      <c r="C67" s="21" t="n">
        <v>0</v>
      </c>
      <c r="D67" s="21" t="n">
        <v>0</v>
      </c>
      <c r="E67" s="21" t="n">
        <v>14</v>
      </c>
      <c r="F67" s="21" t="n">
        <v>14</v>
      </c>
      <c r="G67" s="21" t="n">
        <v>28</v>
      </c>
      <c r="H67" s="21" t="n">
        <v>0</v>
      </c>
      <c r="I67" s="21" t="n">
        <v>0</v>
      </c>
      <c r="J67" s="21"/>
      <c r="K67" s="21"/>
    </row>
    <row r="68" customFormat="false" ht="15" hidden="false" customHeight="true" outlineLevel="0" collapsed="false">
      <c r="A68" s="23" t="n">
        <v>46115</v>
      </c>
      <c r="B68" s="24" t="n">
        <v>2399</v>
      </c>
      <c r="C68" s="24" t="n">
        <v>0</v>
      </c>
      <c r="D68" s="24" t="n">
        <v>2</v>
      </c>
      <c r="E68" s="24" t="n">
        <v>11</v>
      </c>
      <c r="F68" s="24" t="n">
        <v>12</v>
      </c>
      <c r="G68" s="24" t="n">
        <v>23</v>
      </c>
      <c r="H68" s="24" t="n">
        <v>0</v>
      </c>
      <c r="I68" s="24" t="n">
        <v>0</v>
      </c>
      <c r="J68" s="24"/>
      <c r="K68" s="24"/>
    </row>
    <row r="69" customFormat="false" ht="15" hidden="false" customHeight="true" outlineLevel="0" collapsed="false">
      <c r="A69" s="20" t="n">
        <v>46122</v>
      </c>
      <c r="B69" s="21" t="n">
        <v>2399</v>
      </c>
      <c r="C69" s="21" t="n">
        <v>0</v>
      </c>
      <c r="D69" s="21" t="n">
        <v>0</v>
      </c>
      <c r="E69" s="21" t="n">
        <v>5</v>
      </c>
      <c r="F69" s="21" t="n">
        <v>17</v>
      </c>
      <c r="G69" s="21" t="n">
        <v>22</v>
      </c>
      <c r="H69" s="21" t="n">
        <v>0</v>
      </c>
      <c r="I69" s="21" t="n">
        <v>0</v>
      </c>
      <c r="J69" s="21"/>
      <c r="K69" s="21"/>
    </row>
    <row r="70" customFormat="false" ht="15" hidden="false" customHeight="true" outlineLevel="0" collapsed="false">
      <c r="A70" s="23" t="n">
        <v>46129</v>
      </c>
      <c r="B70" s="24" t="n">
        <v>2399</v>
      </c>
      <c r="C70" s="24" t="n">
        <v>0</v>
      </c>
      <c r="D70" s="24" t="n">
        <v>0</v>
      </c>
      <c r="E70" s="24" t="n">
        <v>3</v>
      </c>
      <c r="F70" s="24" t="n">
        <v>40</v>
      </c>
      <c r="G70" s="24" t="n">
        <v>43</v>
      </c>
      <c r="H70" s="24" t="n">
        <v>0</v>
      </c>
      <c r="I70" s="24" t="n">
        <v>0</v>
      </c>
      <c r="J70" s="24"/>
      <c r="K70" s="24"/>
    </row>
    <row r="71" customFormat="false" ht="15" hidden="false" customHeight="true" outlineLevel="0" collapsed="false">
      <c r="A71" s="20" t="n">
        <v>46136</v>
      </c>
      <c r="B71" s="21" t="n">
        <v>2399</v>
      </c>
      <c r="C71" s="21" t="n">
        <v>0</v>
      </c>
      <c r="D71" s="21" t="n">
        <v>0</v>
      </c>
      <c r="E71" s="21" t="n">
        <v>4</v>
      </c>
      <c r="F71" s="21" t="n">
        <v>35</v>
      </c>
      <c r="G71" s="21" t="n">
        <v>39</v>
      </c>
      <c r="H71" s="21" t="n">
        <v>0</v>
      </c>
      <c r="I71" s="21" t="n">
        <v>0</v>
      </c>
      <c r="J71" s="21"/>
      <c r="K71" s="21"/>
    </row>
    <row r="72" customFormat="false" ht="15" hidden="false" customHeight="true" outlineLevel="0" collapsed="false">
      <c r="A72" s="23" t="n">
        <v>46143</v>
      </c>
      <c r="B72" s="24" t="n">
        <v>2400</v>
      </c>
      <c r="C72" s="24" t="n">
        <v>1</v>
      </c>
      <c r="D72" s="24" t="n">
        <v>0</v>
      </c>
      <c r="E72" s="24" t="n">
        <v>2</v>
      </c>
      <c r="F72" s="24" t="n">
        <v>45</v>
      </c>
      <c r="G72" s="24" t="n">
        <v>47</v>
      </c>
      <c r="H72" s="24" t="n">
        <v>0</v>
      </c>
      <c r="I72" s="24" t="n">
        <v>0</v>
      </c>
      <c r="J72" s="24"/>
      <c r="K72" s="24"/>
    </row>
    <row r="73" customFormat="false" ht="15" hidden="false" customHeight="true" outlineLevel="0" collapsed="false">
      <c r="A73" s="20" t="n">
        <v>46150</v>
      </c>
      <c r="B73" s="21" t="n">
        <v>2404</v>
      </c>
      <c r="C73" s="21" t="n">
        <v>4</v>
      </c>
      <c r="D73" s="21" t="n">
        <v>0</v>
      </c>
      <c r="E73" s="21" t="n">
        <v>2</v>
      </c>
      <c r="F73" s="21" t="n">
        <v>34</v>
      </c>
      <c r="G73" s="21" t="n">
        <v>36</v>
      </c>
      <c r="H73" s="21" t="n">
        <v>0</v>
      </c>
      <c r="I73" s="21" t="n">
        <v>0</v>
      </c>
      <c r="J73" s="21"/>
      <c r="K73" s="21"/>
    </row>
    <row r="74" customFormat="false" ht="15" hidden="false" customHeight="true" outlineLevel="0" collapsed="false">
      <c r="A74" s="23" t="n">
        <v>46157</v>
      </c>
      <c r="B74" s="24" t="n">
        <v>2408</v>
      </c>
      <c r="C74" s="24" t="n">
        <v>4</v>
      </c>
      <c r="D74" s="24" t="n">
        <v>0</v>
      </c>
      <c r="E74" s="24" t="n">
        <v>3</v>
      </c>
      <c r="F74" s="24" t="n">
        <v>23</v>
      </c>
      <c r="G74" s="24" t="n">
        <v>26</v>
      </c>
      <c r="H74" s="24" t="n">
        <v>0</v>
      </c>
      <c r="I74" s="24" t="n">
        <v>0</v>
      </c>
      <c r="J74" s="24"/>
      <c r="K74" s="24"/>
    </row>
    <row r="75" customFormat="false" ht="15" hidden="false" customHeight="true" outlineLevel="0" collapsed="false">
      <c r="A75" s="20" t="n">
        <v>46164</v>
      </c>
      <c r="B75" s="21" t="n">
        <v>2408</v>
      </c>
      <c r="C75" s="21" t="n">
        <v>0</v>
      </c>
      <c r="D75" s="21" t="n">
        <v>0</v>
      </c>
      <c r="E75" s="21" t="n">
        <v>2</v>
      </c>
      <c r="F75" s="21" t="n">
        <v>27</v>
      </c>
      <c r="G75" s="21" t="n">
        <v>29</v>
      </c>
      <c r="H75" s="21" t="n">
        <v>0</v>
      </c>
      <c r="I75" s="21" t="n">
        <v>0</v>
      </c>
      <c r="J75" s="21"/>
      <c r="K75" s="21"/>
    </row>
    <row r="76" customFormat="false" ht="15" hidden="false" customHeight="true" outlineLevel="0" collapsed="false">
      <c r="A76" s="23" t="n">
        <v>46171</v>
      </c>
      <c r="B76" s="24" t="n">
        <v>2409</v>
      </c>
      <c r="C76" s="24" t="n">
        <v>5</v>
      </c>
      <c r="D76" s="24" t="n">
        <v>0</v>
      </c>
      <c r="E76" s="24" t="n">
        <v>2</v>
      </c>
      <c r="F76" s="24" t="n">
        <v>18</v>
      </c>
      <c r="G76" s="24" t="n">
        <v>20</v>
      </c>
      <c r="H76" s="24" t="n">
        <v>0</v>
      </c>
      <c r="I76" s="24" t="n">
        <v>0</v>
      </c>
      <c r="J76" s="24"/>
      <c r="K76" s="24"/>
    </row>
    <row r="77" customFormat="false" ht="15" hidden="false" customHeight="true" outlineLevel="0" collapsed="false">
      <c r="A77" s="20" t="n">
        <v>46178</v>
      </c>
      <c r="B77" s="21" t="n">
        <v>2410</v>
      </c>
      <c r="C77" s="21" t="n">
        <v>1</v>
      </c>
      <c r="D77" s="21" t="n">
        <v>0</v>
      </c>
      <c r="E77" s="21" t="n">
        <v>12</v>
      </c>
      <c r="F77" s="21" t="n">
        <v>21</v>
      </c>
      <c r="G77" s="21" t="n">
        <v>33</v>
      </c>
      <c r="H77" s="21" t="n">
        <v>0</v>
      </c>
      <c r="I77" s="21" t="n">
        <v>0</v>
      </c>
      <c r="J77" s="21"/>
      <c r="K77" s="21"/>
    </row>
    <row r="78" customFormat="false" ht="15" hidden="false" customHeight="true" outlineLevel="0" collapsed="false">
      <c r="A78" s="23" t="n">
        <v>46185</v>
      </c>
      <c r="B78" s="24" t="n">
        <v>2411</v>
      </c>
      <c r="C78" s="24" t="n">
        <v>1</v>
      </c>
      <c r="D78" s="24" t="n">
        <v>2</v>
      </c>
      <c r="E78" s="24" t="n">
        <v>23</v>
      </c>
      <c r="F78" s="24" t="n">
        <v>50</v>
      </c>
      <c r="G78" s="24" t="n">
        <v>73</v>
      </c>
      <c r="H78" s="24" t="n">
        <v>0</v>
      </c>
      <c r="I78" s="24" t="n">
        <v>0</v>
      </c>
      <c r="J78" s="24"/>
      <c r="K78" s="24"/>
    </row>
    <row r="79" customFormat="false" ht="15" hidden="false" customHeight="true" outlineLevel="0" collapsed="false">
      <c r="A79" s="20" t="n">
        <v>46192</v>
      </c>
      <c r="B79" s="21" t="n">
        <v>2414</v>
      </c>
      <c r="C79" s="21" t="n">
        <v>3</v>
      </c>
      <c r="D79" s="21" t="n">
        <v>1</v>
      </c>
      <c r="E79" s="21" t="n">
        <v>12</v>
      </c>
      <c r="F79" s="21" t="n">
        <v>13</v>
      </c>
      <c r="G79" s="21" t="n">
        <v>25</v>
      </c>
      <c r="H79" s="21" t="n">
        <v>0</v>
      </c>
      <c r="I79" s="21" t="n">
        <v>0</v>
      </c>
      <c r="J79" s="21"/>
      <c r="K79" s="21"/>
    </row>
    <row r="80" customFormat="false" ht="15" hidden="false" customHeight="true" outlineLevel="0" collapsed="false">
      <c r="A80" s="23" t="n">
        <v>46199</v>
      </c>
      <c r="B80" s="24" t="n">
        <v>2416</v>
      </c>
      <c r="C80" s="24" t="n">
        <v>2</v>
      </c>
      <c r="D80" s="24" t="n">
        <v>0</v>
      </c>
      <c r="E80" s="24" t="n">
        <v>10</v>
      </c>
      <c r="F80" s="24" t="n">
        <v>20</v>
      </c>
      <c r="G80" s="24" t="n">
        <v>30</v>
      </c>
      <c r="H80" s="24" t="n">
        <v>0</v>
      </c>
      <c r="I80" s="24" t="n">
        <v>0</v>
      </c>
      <c r="J80" s="24"/>
      <c r="K80" s="24"/>
    </row>
    <row r="81" customFormat="false" ht="15" hidden="false" customHeight="true" outlineLevel="0" collapsed="false">
      <c r="A81" s="20" t="n">
        <v>46206</v>
      </c>
      <c r="B81" s="21" t="n">
        <v>2414</v>
      </c>
      <c r="C81" s="21" t="n">
        <v>-2</v>
      </c>
      <c r="D81" s="21" t="n">
        <v>0</v>
      </c>
      <c r="E81" s="21" t="n">
        <v>13</v>
      </c>
      <c r="F81" s="21" t="n">
        <v>21</v>
      </c>
      <c r="G81" s="21" t="n">
        <v>34</v>
      </c>
      <c r="H81" s="21" t="n">
        <v>0</v>
      </c>
      <c r="I81" s="21" t="n">
        <v>0</v>
      </c>
      <c r="J81" s="21"/>
      <c r="K81" s="21"/>
    </row>
    <row r="82" customFormat="false" ht="15" hidden="false" customHeight="true" outlineLevel="0" collapsed="false">
      <c r="A82" s="23" t="n">
        <v>46213</v>
      </c>
      <c r="B82" s="24" t="n">
        <v>2417</v>
      </c>
      <c r="C82" s="24" t="n">
        <v>3</v>
      </c>
      <c r="D82" s="24" t="n">
        <v>0</v>
      </c>
      <c r="E82" s="24" t="n">
        <v>11</v>
      </c>
      <c r="F82" s="24" t="n">
        <v>14</v>
      </c>
      <c r="G82" s="24" t="n">
        <v>25</v>
      </c>
      <c r="H82" s="24" t="n">
        <v>0</v>
      </c>
      <c r="I82" s="24" t="n">
        <v>0</v>
      </c>
      <c r="J82" s="24"/>
      <c r="K82" s="24"/>
    </row>
    <row r="83" customFormat="false" ht="15" hidden="false" customHeight="true" outlineLevel="0" collapsed="false">
      <c r="A83" s="20" t="n">
        <v>46220</v>
      </c>
      <c r="B83" s="50"/>
      <c r="C83" s="50"/>
      <c r="D83" s="50"/>
      <c r="E83" s="50"/>
      <c r="F83" s="50"/>
      <c r="G83" s="50"/>
      <c r="H83" s="50"/>
      <c r="I83" s="50"/>
      <c r="J83" s="50"/>
      <c r="K83" s="50"/>
    </row>
    <row r="84" customFormat="false" ht="15" hidden="false" customHeight="true" outlineLevel="0" collapsed="false">
      <c r="A84" s="23" t="n">
        <v>46227</v>
      </c>
      <c r="B84" s="50"/>
      <c r="C84" s="50"/>
      <c r="D84" s="50"/>
      <c r="E84" s="50"/>
      <c r="F84" s="50"/>
      <c r="G84" s="50"/>
      <c r="H84" s="50"/>
      <c r="I84" s="50"/>
      <c r="J84" s="50"/>
      <c r="K84" s="50"/>
    </row>
    <row r="85" customFormat="false" ht="15" hidden="false" customHeight="true" outlineLevel="0" collapsed="false">
      <c r="A85" s="20" t="n">
        <v>46234</v>
      </c>
      <c r="B85" s="50"/>
      <c r="C85" s="50"/>
      <c r="D85" s="50"/>
      <c r="E85" s="50"/>
      <c r="F85" s="50"/>
      <c r="G85" s="50"/>
      <c r="H85" s="50"/>
      <c r="I85" s="50"/>
      <c r="J85" s="50"/>
      <c r="K85" s="50"/>
    </row>
    <row r="86" customFormat="false" ht="15" hidden="false" customHeight="true" outlineLevel="0" collapsed="false">
      <c r="A86" s="23" t="n">
        <v>46241</v>
      </c>
      <c r="B86" s="50"/>
      <c r="C86" s="50"/>
      <c r="D86" s="50"/>
      <c r="E86" s="50"/>
      <c r="F86" s="50"/>
      <c r="G86" s="50"/>
      <c r="H86" s="50"/>
      <c r="I86" s="50"/>
      <c r="J86" s="50"/>
      <c r="K86" s="50"/>
    </row>
    <row r="87" customFormat="false" ht="15" hidden="false" customHeight="true" outlineLevel="0" collapsed="false">
      <c r="A87" s="20" t="n">
        <v>46248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</row>
    <row r="88" customFormat="false" ht="15" hidden="false" customHeight="true" outlineLevel="0" collapsed="false">
      <c r="A88" s="23" t="n">
        <v>46255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</row>
    <row r="89" customFormat="false" ht="15" hidden="false" customHeight="true" outlineLevel="0" collapsed="false">
      <c r="A89" s="20" t="n">
        <v>46262</v>
      </c>
      <c r="B89" s="50"/>
      <c r="C89" s="50"/>
      <c r="D89" s="50"/>
      <c r="E89" s="50"/>
      <c r="F89" s="50"/>
      <c r="G89" s="50"/>
      <c r="H89" s="50"/>
      <c r="I89" s="50"/>
      <c r="J89" s="50"/>
      <c r="K89" s="50"/>
    </row>
    <row r="90" customFormat="false" ht="15" hidden="false" customHeight="true" outlineLevel="0" collapsed="false">
      <c r="A90" s="23" t="n">
        <v>46269</v>
      </c>
      <c r="B90" s="50"/>
      <c r="C90" s="50"/>
      <c r="D90" s="50"/>
      <c r="E90" s="50"/>
      <c r="F90" s="50"/>
      <c r="G90" s="50"/>
      <c r="H90" s="50"/>
      <c r="I90" s="50"/>
      <c r="J90" s="50"/>
      <c r="K90" s="50"/>
    </row>
    <row r="91" customFormat="false" ht="15" hidden="false" customHeight="true" outlineLevel="0" collapsed="false">
      <c r="A91" s="20" t="n">
        <v>46276</v>
      </c>
      <c r="B91" s="50"/>
      <c r="C91" s="50"/>
      <c r="D91" s="50"/>
      <c r="E91" s="50"/>
      <c r="F91" s="50"/>
      <c r="G91" s="50"/>
      <c r="H91" s="50"/>
      <c r="I91" s="50"/>
      <c r="J91" s="50"/>
      <c r="K91" s="50"/>
    </row>
    <row r="92" customFormat="false" ht="15" hidden="false" customHeight="true" outlineLevel="0" collapsed="false">
      <c r="A92" s="23" t="n">
        <v>46283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</row>
    <row r="93" customFormat="false" ht="15" hidden="false" customHeight="true" outlineLevel="0" collapsed="false">
      <c r="A93" s="20" t="n">
        <v>46290</v>
      </c>
      <c r="B93" s="50"/>
      <c r="C93" s="50"/>
      <c r="D93" s="50"/>
      <c r="E93" s="50"/>
      <c r="F93" s="50"/>
      <c r="G93" s="50"/>
      <c r="H93" s="50"/>
      <c r="I93" s="50"/>
      <c r="J93" s="50"/>
      <c r="K93" s="50"/>
    </row>
    <row r="94" customFormat="false" ht="15" hidden="false" customHeight="true" outlineLevel="0" collapsed="false">
      <c r="A94" s="23" t="n">
        <v>46297</v>
      </c>
      <c r="B94" s="50"/>
      <c r="C94" s="50"/>
      <c r="D94" s="50"/>
      <c r="E94" s="50"/>
      <c r="F94" s="50"/>
      <c r="G94" s="50"/>
      <c r="H94" s="50"/>
      <c r="I94" s="50"/>
      <c r="J94" s="50"/>
      <c r="K94" s="50"/>
    </row>
    <row r="95" customFormat="false" ht="15" hidden="false" customHeight="true" outlineLevel="0" collapsed="false">
      <c r="A95" s="20" t="n">
        <v>46304</v>
      </c>
      <c r="B95" s="50"/>
      <c r="C95" s="50"/>
      <c r="D95" s="50"/>
      <c r="E95" s="50"/>
      <c r="F95" s="50"/>
      <c r="G95" s="50"/>
      <c r="H95" s="50"/>
      <c r="I95" s="50"/>
      <c r="J95" s="50"/>
      <c r="K95" s="50"/>
    </row>
    <row r="96" customFormat="false" ht="15" hidden="false" customHeight="true" outlineLevel="0" collapsed="false">
      <c r="A96" s="23" t="n">
        <v>46311</v>
      </c>
      <c r="B96" s="50"/>
      <c r="C96" s="50"/>
      <c r="D96" s="50"/>
      <c r="E96" s="50"/>
      <c r="F96" s="50"/>
      <c r="G96" s="50"/>
      <c r="H96" s="50"/>
      <c r="I96" s="50"/>
      <c r="J96" s="50"/>
      <c r="K96" s="50"/>
    </row>
    <row r="97" customFormat="false" ht="15" hidden="false" customHeight="true" outlineLevel="0" collapsed="false">
      <c r="A97" s="20" t="n">
        <v>46318</v>
      </c>
      <c r="B97" s="50"/>
      <c r="C97" s="50"/>
      <c r="D97" s="50"/>
      <c r="E97" s="50"/>
      <c r="F97" s="50"/>
      <c r="G97" s="50"/>
      <c r="H97" s="50"/>
      <c r="I97" s="50"/>
      <c r="J97" s="50"/>
      <c r="K97" s="50"/>
    </row>
    <row r="98" customFormat="false" ht="15" hidden="false" customHeight="true" outlineLevel="0" collapsed="false">
      <c r="A98" s="23" t="n">
        <v>46325</v>
      </c>
      <c r="B98" s="50"/>
      <c r="C98" s="50"/>
      <c r="D98" s="50"/>
      <c r="E98" s="50"/>
      <c r="F98" s="50"/>
      <c r="G98" s="50"/>
      <c r="H98" s="50"/>
      <c r="I98" s="50"/>
      <c r="J98" s="50"/>
      <c r="K98" s="50"/>
    </row>
    <row r="99" customFormat="false" ht="15" hidden="false" customHeight="true" outlineLevel="0" collapsed="false">
      <c r="A99" s="20" t="n">
        <v>46332</v>
      </c>
      <c r="B99" s="50"/>
      <c r="C99" s="50"/>
      <c r="D99" s="50"/>
      <c r="E99" s="50"/>
      <c r="F99" s="50"/>
      <c r="G99" s="50"/>
      <c r="H99" s="50"/>
      <c r="I99" s="50"/>
      <c r="J99" s="50"/>
      <c r="K99" s="50"/>
    </row>
    <row r="100" customFormat="false" ht="15" hidden="false" customHeight="true" outlineLevel="0" collapsed="false">
      <c r="A100" s="23" t="n">
        <v>46339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50"/>
    </row>
    <row r="101" customFormat="false" ht="15" hidden="false" customHeight="true" outlineLevel="0" collapsed="false">
      <c r="A101" s="20" t="n">
        <v>46346</v>
      </c>
      <c r="B101" s="50"/>
      <c r="C101" s="50"/>
      <c r="D101" s="50"/>
      <c r="E101" s="50"/>
      <c r="F101" s="50"/>
      <c r="G101" s="50"/>
      <c r="H101" s="50"/>
      <c r="I101" s="50"/>
      <c r="J101" s="50"/>
      <c r="K101" s="50"/>
    </row>
    <row r="102" customFormat="false" ht="15" hidden="false" customHeight="true" outlineLevel="0" collapsed="false">
      <c r="A102" s="23" t="n">
        <v>46353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</row>
    <row r="103" customFormat="false" ht="15" hidden="false" customHeight="true" outlineLevel="0" collapsed="false">
      <c r="A103" s="20" t="n">
        <v>46360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</row>
    <row r="104" customFormat="false" ht="15" hidden="false" customHeight="true" outlineLevel="0" collapsed="false">
      <c r="A104" s="23" t="n">
        <v>46367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0"/>
    </row>
    <row r="105" customFormat="false" ht="15" hidden="false" customHeight="true" outlineLevel="0" collapsed="false">
      <c r="A105" s="20" t="n">
        <v>46374</v>
      </c>
      <c r="B105" s="50"/>
      <c r="C105" s="50"/>
      <c r="D105" s="50"/>
      <c r="E105" s="50"/>
      <c r="F105" s="50"/>
      <c r="G105" s="50"/>
      <c r="H105" s="50"/>
      <c r="I105" s="50"/>
      <c r="J105" s="50"/>
      <c r="K105" s="50"/>
    </row>
    <row r="106" customFormat="false" ht="15" hidden="false" customHeight="true" outlineLevel="0" collapsed="false">
      <c r="A106" s="23" t="n">
        <v>46381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</row>
    <row r="107" customFormat="false" ht="15" hidden="false" customHeight="true" outlineLevel="0" collapsed="false">
      <c r="A107" s="20" t="n">
        <v>46388</v>
      </c>
      <c r="B107" s="50"/>
      <c r="C107" s="50"/>
      <c r="D107" s="50"/>
      <c r="E107" s="50"/>
      <c r="F107" s="50"/>
      <c r="G107" s="50"/>
      <c r="H107" s="50"/>
      <c r="I107" s="50"/>
      <c r="J107" s="50"/>
      <c r="K107" s="50"/>
    </row>
    <row r="108" customFormat="false" ht="15" hidden="false" customHeight="true" outlineLevel="0" collapsed="false">
      <c r="A108" s="23" t="n">
        <v>46395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</row>
    <row r="109" customFormat="false" ht="15" hidden="false" customHeight="true" outlineLevel="0" collapsed="false">
      <c r="A109" s="20" t="n">
        <v>46402</v>
      </c>
      <c r="B109" s="50"/>
      <c r="C109" s="50"/>
      <c r="D109" s="50"/>
      <c r="E109" s="50"/>
      <c r="F109" s="50"/>
      <c r="G109" s="50"/>
      <c r="H109" s="50"/>
      <c r="I109" s="50"/>
      <c r="J109" s="50"/>
      <c r="K109" s="50"/>
    </row>
    <row r="110" customFormat="false" ht="15" hidden="false" customHeight="true" outlineLevel="0" collapsed="false">
      <c r="A110" s="23" t="n">
        <v>46409</v>
      </c>
      <c r="B110" s="50"/>
      <c r="C110" s="50"/>
      <c r="D110" s="50"/>
      <c r="E110" s="50"/>
      <c r="F110" s="50"/>
      <c r="G110" s="50"/>
      <c r="H110" s="50"/>
      <c r="I110" s="50"/>
      <c r="J110" s="50"/>
      <c r="K110" s="50"/>
    </row>
    <row r="111" customFormat="false" ht="15" hidden="false" customHeight="true" outlineLevel="0" collapsed="false">
      <c r="A111" s="20" t="n">
        <v>46416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0"/>
    </row>
    <row r="112" customFormat="false" ht="15" hidden="false" customHeight="true" outlineLevel="0" collapsed="false">
      <c r="A112" s="23" t="n">
        <v>46423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</row>
    <row r="113" customFormat="false" ht="15" hidden="false" customHeight="true" outlineLevel="0" collapsed="false">
      <c r="A113" s="20" t="n">
        <v>46430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0"/>
    </row>
    <row r="114" customFormat="false" ht="15" hidden="false" customHeight="true" outlineLevel="0" collapsed="false">
      <c r="A114" s="23" t="n">
        <v>46437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</row>
    <row r="115" customFormat="false" ht="15" hidden="false" customHeight="true" outlineLevel="0" collapsed="false">
      <c r="A115" s="20" t="n">
        <v>46444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</row>
    <row r="116" customFormat="false" ht="15" hidden="false" customHeight="true" outlineLevel="0" collapsed="false">
      <c r="A116" s="23" t="n">
        <v>46451</v>
      </c>
      <c r="B116" s="50"/>
      <c r="C116" s="50"/>
      <c r="D116" s="50"/>
      <c r="E116" s="50"/>
      <c r="F116" s="50"/>
      <c r="G116" s="50"/>
      <c r="H116" s="50"/>
      <c r="I116" s="50"/>
      <c r="J116" s="50"/>
      <c r="K116" s="50"/>
    </row>
    <row r="117" customFormat="false" ht="15" hidden="false" customHeight="true" outlineLevel="0" collapsed="false">
      <c r="A117" s="20" t="n">
        <v>46458</v>
      </c>
      <c r="B117" s="50"/>
      <c r="C117" s="50"/>
      <c r="D117" s="50"/>
      <c r="E117" s="50"/>
      <c r="F117" s="50"/>
      <c r="G117" s="50"/>
      <c r="H117" s="50"/>
      <c r="I117" s="50"/>
      <c r="J117" s="50"/>
      <c r="K117" s="50"/>
    </row>
    <row r="118" customFormat="false" ht="15" hidden="false" customHeight="true" outlineLevel="0" collapsed="false">
      <c r="A118" s="23" t="n">
        <v>46465</v>
      </c>
      <c r="B118" s="50"/>
      <c r="C118" s="50"/>
      <c r="D118" s="50"/>
      <c r="E118" s="50"/>
      <c r="F118" s="50"/>
      <c r="G118" s="50"/>
      <c r="H118" s="50"/>
      <c r="I118" s="50"/>
      <c r="J118" s="50"/>
      <c r="K118" s="50"/>
    </row>
    <row r="119" customFormat="false" ht="15" hidden="false" customHeight="true" outlineLevel="0" collapsed="false">
      <c r="A119" s="20" t="n">
        <v>46472</v>
      </c>
      <c r="B119" s="50"/>
      <c r="C119" s="50"/>
      <c r="D119" s="50"/>
      <c r="E119" s="50"/>
      <c r="F119" s="50"/>
      <c r="G119" s="50"/>
      <c r="H119" s="50"/>
      <c r="I119" s="50"/>
      <c r="J119" s="50"/>
      <c r="K119" s="50"/>
    </row>
    <row r="120" customFormat="false" ht="15" hidden="false" customHeight="true" outlineLevel="0" collapsed="false">
      <c r="A120" s="23" t="n">
        <v>46479</v>
      </c>
      <c r="B120" s="50"/>
      <c r="C120" s="50"/>
      <c r="D120" s="50"/>
      <c r="E120" s="50"/>
      <c r="F120" s="50"/>
      <c r="G120" s="50"/>
      <c r="H120" s="50"/>
      <c r="I120" s="50"/>
      <c r="J120" s="50"/>
      <c r="K120" s="50"/>
    </row>
    <row r="121" customFormat="false" ht="15" hidden="false" customHeight="true" outlineLevel="0" collapsed="false">
      <c r="A121" s="20" t="n">
        <v>46486</v>
      </c>
      <c r="B121" s="50"/>
      <c r="C121" s="50"/>
      <c r="D121" s="50"/>
      <c r="E121" s="50"/>
      <c r="F121" s="50"/>
      <c r="G121" s="50"/>
      <c r="H121" s="50"/>
      <c r="I121" s="50"/>
      <c r="J121" s="50"/>
      <c r="K121" s="50"/>
    </row>
    <row r="122" customFormat="false" ht="15" hidden="false" customHeight="true" outlineLevel="0" collapsed="false">
      <c r="A122" s="23" t="n">
        <v>46493</v>
      </c>
      <c r="B122" s="50"/>
      <c r="C122" s="50"/>
      <c r="D122" s="50"/>
      <c r="E122" s="50"/>
      <c r="F122" s="50"/>
      <c r="G122" s="50"/>
      <c r="H122" s="50"/>
      <c r="I122" s="50"/>
      <c r="J122" s="50"/>
      <c r="K122" s="50"/>
    </row>
    <row r="123" customFormat="false" ht="15" hidden="false" customHeight="true" outlineLevel="0" collapsed="false">
      <c r="A123" s="20" t="n">
        <v>46500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</row>
    <row r="124" customFormat="false" ht="15" hidden="false" customHeight="true" outlineLevel="0" collapsed="false">
      <c r="A124" s="23" t="n">
        <v>46507</v>
      </c>
      <c r="B124" s="50"/>
      <c r="C124" s="50"/>
      <c r="D124" s="50"/>
      <c r="E124" s="50"/>
      <c r="F124" s="50"/>
      <c r="G124" s="50"/>
      <c r="H124" s="50"/>
      <c r="I124" s="50"/>
      <c r="J124" s="50"/>
      <c r="K124" s="50"/>
    </row>
    <row r="125" customFormat="false" ht="15" hidden="false" customHeight="true" outlineLevel="0" collapsed="false">
      <c r="A125" s="20" t="n">
        <v>46514</v>
      </c>
      <c r="B125" s="50"/>
      <c r="C125" s="50"/>
      <c r="D125" s="50"/>
      <c r="E125" s="50"/>
      <c r="F125" s="50"/>
      <c r="G125" s="50"/>
      <c r="H125" s="50"/>
      <c r="I125" s="50"/>
      <c r="J125" s="50"/>
      <c r="K125" s="50"/>
    </row>
    <row r="126" customFormat="false" ht="15" hidden="false" customHeight="true" outlineLevel="0" collapsed="false">
      <c r="A126" s="23" t="n">
        <v>46521</v>
      </c>
      <c r="B126" s="50"/>
      <c r="C126" s="50"/>
      <c r="D126" s="50"/>
      <c r="E126" s="50"/>
      <c r="F126" s="50"/>
      <c r="G126" s="50"/>
      <c r="H126" s="50"/>
      <c r="I126" s="50"/>
      <c r="J126" s="50"/>
      <c r="K126" s="50"/>
    </row>
    <row r="127" customFormat="false" ht="15" hidden="false" customHeight="true" outlineLevel="0" collapsed="false">
      <c r="A127" s="20" t="n">
        <v>46528</v>
      </c>
      <c r="B127" s="50"/>
      <c r="C127" s="50"/>
      <c r="D127" s="50"/>
      <c r="E127" s="50"/>
      <c r="F127" s="50"/>
      <c r="G127" s="50"/>
      <c r="H127" s="50"/>
      <c r="I127" s="50"/>
      <c r="J127" s="50"/>
      <c r="K127" s="50"/>
    </row>
    <row r="128" customFormat="false" ht="15" hidden="false" customHeight="true" outlineLevel="0" collapsed="false">
      <c r="A128" s="23" t="n">
        <v>46535</v>
      </c>
      <c r="B128" s="50"/>
      <c r="C128" s="50"/>
      <c r="D128" s="50"/>
      <c r="E128" s="50"/>
      <c r="F128" s="50"/>
      <c r="G128" s="50"/>
      <c r="H128" s="50"/>
      <c r="I128" s="50"/>
      <c r="J128" s="50"/>
      <c r="K128" s="50"/>
    </row>
    <row r="129" customFormat="false" ht="15" hidden="false" customHeight="true" outlineLevel="0" collapsed="false">
      <c r="A129" s="20" t="n">
        <v>46542</v>
      </c>
      <c r="B129" s="50"/>
      <c r="C129" s="50"/>
      <c r="D129" s="50"/>
      <c r="E129" s="50"/>
      <c r="F129" s="50"/>
      <c r="G129" s="50"/>
      <c r="H129" s="50"/>
      <c r="I129" s="50"/>
      <c r="J129" s="50"/>
      <c r="K129" s="50"/>
    </row>
    <row r="130" customFormat="false" ht="15" hidden="false" customHeight="true" outlineLevel="0" collapsed="false">
      <c r="A130" s="23" t="n">
        <v>46549</v>
      </c>
      <c r="B130" s="50"/>
      <c r="C130" s="50"/>
      <c r="D130" s="50"/>
      <c r="E130" s="50"/>
      <c r="F130" s="50"/>
      <c r="G130" s="50"/>
      <c r="H130" s="50"/>
      <c r="I130" s="50"/>
      <c r="J130" s="50"/>
      <c r="K130" s="50"/>
    </row>
    <row r="131" customFormat="false" ht="15" hidden="false" customHeight="true" outlineLevel="0" collapsed="false">
      <c r="A131" s="20" t="n">
        <v>46556</v>
      </c>
      <c r="B131" s="50"/>
      <c r="C131" s="50"/>
      <c r="D131" s="50"/>
      <c r="E131" s="50"/>
      <c r="F131" s="50"/>
      <c r="G131" s="50"/>
      <c r="H131" s="50"/>
      <c r="I131" s="50"/>
      <c r="J131" s="50"/>
      <c r="K131" s="50"/>
    </row>
    <row r="132" customFormat="false" ht="15" hidden="false" customHeight="true" outlineLevel="0" collapsed="false">
      <c r="A132" s="23" t="n">
        <v>46563</v>
      </c>
      <c r="B132" s="50"/>
      <c r="C132" s="50"/>
      <c r="D132" s="50"/>
      <c r="E132" s="50"/>
      <c r="F132" s="50"/>
      <c r="G132" s="50"/>
      <c r="H132" s="50"/>
      <c r="I132" s="50"/>
      <c r="J132" s="50"/>
      <c r="K132" s="50"/>
    </row>
    <row r="133" customFormat="false" ht="15" hidden="false" customHeight="true" outlineLevel="0" collapsed="false">
      <c r="A133" s="20" t="n">
        <v>46570</v>
      </c>
      <c r="B133" s="50"/>
      <c r="C133" s="50"/>
      <c r="D133" s="50"/>
      <c r="E133" s="50"/>
      <c r="F133" s="50"/>
      <c r="G133" s="50"/>
      <c r="H133" s="50"/>
      <c r="I133" s="50"/>
      <c r="J133" s="50"/>
      <c r="K133" s="50"/>
    </row>
    <row r="134" customFormat="false" ht="15" hidden="false" customHeight="true" outlineLevel="0" collapsed="false">
      <c r="A134" s="23" t="n">
        <v>46577</v>
      </c>
      <c r="B134" s="50"/>
      <c r="C134" s="50"/>
      <c r="D134" s="50"/>
      <c r="E134" s="50"/>
      <c r="F134" s="50"/>
      <c r="G134" s="50"/>
      <c r="H134" s="50"/>
      <c r="I134" s="50"/>
      <c r="J134" s="50"/>
      <c r="K134" s="50"/>
    </row>
    <row r="135" customFormat="false" ht="15" hidden="false" customHeight="true" outlineLevel="0" collapsed="false">
      <c r="A135" s="20" t="n">
        <v>46584</v>
      </c>
      <c r="B135" s="50"/>
      <c r="C135" s="50"/>
      <c r="D135" s="50"/>
      <c r="E135" s="50"/>
      <c r="F135" s="50"/>
      <c r="G135" s="50"/>
      <c r="H135" s="50"/>
      <c r="I135" s="50"/>
      <c r="J135" s="50"/>
      <c r="K135" s="50"/>
    </row>
    <row r="136" customFormat="false" ht="15" hidden="false" customHeight="true" outlineLevel="0" collapsed="false">
      <c r="A136" s="23" t="n">
        <v>46591</v>
      </c>
      <c r="B136" s="50"/>
      <c r="C136" s="50"/>
      <c r="D136" s="50"/>
      <c r="E136" s="50"/>
      <c r="F136" s="50"/>
      <c r="G136" s="50"/>
      <c r="H136" s="50"/>
      <c r="I136" s="50"/>
      <c r="J136" s="50"/>
      <c r="K136" s="50"/>
    </row>
    <row r="137" customFormat="false" ht="15" hidden="false" customHeight="true" outlineLevel="0" collapsed="false">
      <c r="A137" s="20" t="n">
        <v>46598</v>
      </c>
      <c r="B137" s="50"/>
      <c r="C137" s="50"/>
      <c r="D137" s="50"/>
      <c r="E137" s="50"/>
      <c r="F137" s="50"/>
      <c r="G137" s="50"/>
      <c r="H137" s="50"/>
      <c r="I137" s="50"/>
      <c r="J137" s="50"/>
      <c r="K137" s="50"/>
    </row>
    <row r="138" customFormat="false" ht="15" hidden="false" customHeight="true" outlineLevel="0" collapsed="false">
      <c r="A138" s="23" t="n">
        <v>46605</v>
      </c>
      <c r="B138" s="50"/>
      <c r="C138" s="50"/>
      <c r="D138" s="50"/>
      <c r="E138" s="50"/>
      <c r="F138" s="50"/>
      <c r="G138" s="50"/>
      <c r="H138" s="50"/>
      <c r="I138" s="50"/>
      <c r="J138" s="50"/>
      <c r="K138" s="50"/>
    </row>
    <row r="139" customFormat="false" ht="15" hidden="false" customHeight="true" outlineLevel="0" collapsed="false">
      <c r="A139" s="20" t="n">
        <v>46612</v>
      </c>
      <c r="B139" s="50"/>
      <c r="C139" s="50"/>
      <c r="D139" s="50"/>
      <c r="E139" s="50"/>
      <c r="F139" s="50"/>
      <c r="G139" s="50"/>
      <c r="H139" s="50"/>
      <c r="I139" s="50"/>
      <c r="J139" s="50"/>
      <c r="K139" s="50"/>
    </row>
    <row r="140" customFormat="false" ht="15" hidden="false" customHeight="true" outlineLevel="0" collapsed="false">
      <c r="A140" s="23" t="n">
        <v>46619</v>
      </c>
      <c r="B140" s="50"/>
      <c r="C140" s="50"/>
      <c r="D140" s="50"/>
      <c r="E140" s="50"/>
      <c r="F140" s="50"/>
      <c r="G140" s="50"/>
      <c r="H140" s="50"/>
      <c r="I140" s="50"/>
      <c r="J140" s="50"/>
      <c r="K140" s="50"/>
    </row>
    <row r="141" customFormat="false" ht="15" hidden="false" customHeight="true" outlineLevel="0" collapsed="false">
      <c r="A141" s="20" t="n">
        <v>46626</v>
      </c>
      <c r="B141" s="50"/>
      <c r="C141" s="50"/>
      <c r="D141" s="50"/>
      <c r="E141" s="50"/>
      <c r="F141" s="50"/>
      <c r="G141" s="50"/>
      <c r="H141" s="50"/>
      <c r="I141" s="50"/>
      <c r="J141" s="50"/>
      <c r="K141" s="50"/>
    </row>
    <row r="142" customFormat="false" ht="15" hidden="false" customHeight="true" outlineLevel="0" collapsed="false">
      <c r="A142" s="23" t="n">
        <v>46633</v>
      </c>
      <c r="B142" s="50"/>
      <c r="C142" s="50"/>
      <c r="D142" s="50"/>
      <c r="E142" s="50"/>
      <c r="F142" s="50"/>
      <c r="G142" s="50"/>
      <c r="H142" s="50"/>
      <c r="I142" s="50"/>
      <c r="J142" s="50"/>
      <c r="K142" s="50"/>
    </row>
    <row r="143" customFormat="false" ht="15" hidden="false" customHeight="true" outlineLevel="0" collapsed="false">
      <c r="A143" s="20" t="n">
        <v>46640</v>
      </c>
      <c r="B143" s="50"/>
      <c r="C143" s="50"/>
      <c r="D143" s="50"/>
      <c r="E143" s="50"/>
      <c r="F143" s="50"/>
      <c r="G143" s="50"/>
      <c r="H143" s="50"/>
      <c r="I143" s="50"/>
      <c r="J143" s="50"/>
      <c r="K143" s="50"/>
    </row>
    <row r="144" customFormat="false" ht="15" hidden="false" customHeight="true" outlineLevel="0" collapsed="false">
      <c r="A144" s="23" t="n">
        <v>46647</v>
      </c>
      <c r="B144" s="50"/>
      <c r="C144" s="50"/>
      <c r="D144" s="50"/>
      <c r="E144" s="50"/>
      <c r="F144" s="50"/>
      <c r="G144" s="50"/>
      <c r="H144" s="50"/>
      <c r="I144" s="50"/>
      <c r="J144" s="50"/>
      <c r="K144" s="50"/>
    </row>
    <row r="145" customFormat="false" ht="15" hidden="false" customHeight="true" outlineLevel="0" collapsed="false">
      <c r="A145" s="20" t="n">
        <v>46654</v>
      </c>
      <c r="B145" s="50"/>
      <c r="C145" s="50"/>
      <c r="D145" s="50"/>
      <c r="E145" s="50"/>
      <c r="F145" s="50"/>
      <c r="G145" s="50"/>
      <c r="H145" s="50"/>
      <c r="I145" s="50"/>
      <c r="J145" s="50"/>
      <c r="K145" s="50"/>
    </row>
    <row r="146" customFormat="false" ht="15" hidden="false" customHeight="true" outlineLevel="0" collapsed="false">
      <c r="A146" s="23" t="n">
        <v>46661</v>
      </c>
      <c r="B146" s="50"/>
      <c r="C146" s="50"/>
      <c r="D146" s="50"/>
      <c r="E146" s="50"/>
      <c r="F146" s="50"/>
      <c r="G146" s="50"/>
      <c r="H146" s="50"/>
      <c r="I146" s="50"/>
      <c r="J146" s="50"/>
      <c r="K146" s="50"/>
    </row>
    <row r="147" customFormat="false" ht="15" hidden="false" customHeight="true" outlineLevel="0" collapsed="false">
      <c r="A147" s="20" t="n">
        <v>46668</v>
      </c>
      <c r="B147" s="50"/>
      <c r="C147" s="50"/>
      <c r="D147" s="50"/>
      <c r="E147" s="50"/>
      <c r="F147" s="50"/>
      <c r="G147" s="50"/>
      <c r="H147" s="50"/>
      <c r="I147" s="50"/>
      <c r="J147" s="50"/>
      <c r="K147" s="50"/>
    </row>
    <row r="148" customFormat="false" ht="15" hidden="false" customHeight="true" outlineLevel="0" collapsed="false">
      <c r="A148" s="23" t="n">
        <v>46675</v>
      </c>
      <c r="B148" s="50"/>
      <c r="C148" s="50"/>
      <c r="D148" s="50"/>
      <c r="E148" s="50"/>
      <c r="F148" s="50"/>
      <c r="G148" s="50"/>
      <c r="H148" s="50"/>
      <c r="I148" s="50"/>
      <c r="J148" s="50"/>
      <c r="K148" s="50"/>
    </row>
    <row r="149" customFormat="false" ht="15" hidden="false" customHeight="true" outlineLevel="0" collapsed="false">
      <c r="A149" s="20" t="n">
        <v>46682</v>
      </c>
      <c r="B149" s="50"/>
      <c r="C149" s="50"/>
      <c r="D149" s="50"/>
      <c r="E149" s="50"/>
      <c r="F149" s="50"/>
      <c r="G149" s="50"/>
      <c r="H149" s="50"/>
      <c r="I149" s="50"/>
      <c r="J149" s="50"/>
      <c r="K149" s="50"/>
    </row>
    <row r="150" customFormat="false" ht="15" hidden="false" customHeight="true" outlineLevel="0" collapsed="false">
      <c r="A150" s="23" t="n">
        <v>46689</v>
      </c>
      <c r="B150" s="50"/>
      <c r="C150" s="50"/>
      <c r="D150" s="50"/>
      <c r="E150" s="50"/>
      <c r="F150" s="50"/>
      <c r="G150" s="50"/>
      <c r="H150" s="50"/>
      <c r="I150" s="50"/>
      <c r="J150" s="50"/>
      <c r="K150" s="50"/>
    </row>
    <row r="151" customFormat="false" ht="15" hidden="false" customHeight="true" outlineLevel="0" collapsed="false">
      <c r="A151" s="20" t="n">
        <v>46696</v>
      </c>
      <c r="B151" s="50"/>
      <c r="C151" s="50"/>
      <c r="D151" s="50"/>
      <c r="E151" s="50"/>
      <c r="F151" s="50"/>
      <c r="G151" s="50"/>
      <c r="H151" s="50"/>
      <c r="I151" s="50"/>
      <c r="J151" s="50"/>
      <c r="K151" s="50"/>
    </row>
    <row r="152" customFormat="false" ht="15" hidden="false" customHeight="true" outlineLevel="0" collapsed="false">
      <c r="A152" s="23" t="n">
        <v>46703</v>
      </c>
      <c r="B152" s="50"/>
      <c r="C152" s="50"/>
      <c r="D152" s="50"/>
      <c r="E152" s="50"/>
      <c r="F152" s="50"/>
      <c r="G152" s="50"/>
      <c r="H152" s="50"/>
      <c r="I152" s="50"/>
      <c r="J152" s="50"/>
      <c r="K152" s="50"/>
    </row>
    <row r="153" customFormat="false" ht="15" hidden="false" customHeight="true" outlineLevel="0" collapsed="false">
      <c r="A153" s="20" t="n">
        <v>46710</v>
      </c>
      <c r="B153" s="50"/>
      <c r="C153" s="50"/>
      <c r="D153" s="50"/>
      <c r="E153" s="50"/>
      <c r="F153" s="50"/>
      <c r="G153" s="50"/>
      <c r="H153" s="50"/>
      <c r="I153" s="50"/>
      <c r="J153" s="50"/>
      <c r="K153" s="50"/>
    </row>
    <row r="154" customFormat="false" ht="15" hidden="false" customHeight="true" outlineLevel="0" collapsed="false">
      <c r="A154" s="23" t="n">
        <v>46717</v>
      </c>
      <c r="B154" s="50"/>
      <c r="C154" s="50"/>
      <c r="D154" s="50"/>
      <c r="E154" s="50"/>
      <c r="F154" s="50"/>
      <c r="G154" s="50"/>
      <c r="H154" s="50"/>
      <c r="I154" s="50"/>
      <c r="J154" s="50"/>
      <c r="K154" s="50"/>
    </row>
    <row r="155" customFormat="false" ht="15" hidden="false" customHeight="true" outlineLevel="0" collapsed="false">
      <c r="A155" s="20" t="n">
        <v>46724</v>
      </c>
      <c r="B155" s="50"/>
      <c r="C155" s="50"/>
      <c r="D155" s="50"/>
      <c r="E155" s="50"/>
      <c r="F155" s="50"/>
      <c r="G155" s="50"/>
      <c r="H155" s="50"/>
      <c r="I155" s="50"/>
      <c r="J155" s="50"/>
      <c r="K155" s="50"/>
    </row>
    <row r="156" customFormat="false" ht="15" hidden="false" customHeight="true" outlineLevel="0" collapsed="false">
      <c r="A156" s="23" t="n">
        <v>46731</v>
      </c>
      <c r="B156" s="50"/>
      <c r="C156" s="50"/>
      <c r="D156" s="50"/>
      <c r="E156" s="50"/>
      <c r="F156" s="50"/>
      <c r="G156" s="50"/>
      <c r="H156" s="50"/>
      <c r="I156" s="50"/>
      <c r="J156" s="50"/>
      <c r="K156" s="50"/>
    </row>
    <row r="157" customFormat="false" ht="15" hidden="false" customHeight="true" outlineLevel="0" collapsed="false">
      <c r="A157" s="20" t="n">
        <v>46738</v>
      </c>
      <c r="B157" s="50"/>
      <c r="C157" s="50"/>
      <c r="D157" s="50"/>
      <c r="E157" s="50"/>
      <c r="F157" s="50"/>
      <c r="G157" s="50"/>
      <c r="H157" s="50"/>
      <c r="I157" s="50"/>
      <c r="J157" s="50"/>
      <c r="K157" s="50"/>
    </row>
    <row r="158" customFormat="false" ht="15" hidden="false" customHeight="true" outlineLevel="0" collapsed="false">
      <c r="A158" s="23" t="n">
        <v>46745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</row>
    <row r="159" customFormat="false" ht="15" hidden="false" customHeight="true" outlineLevel="0" collapsed="false">
      <c r="A159" s="20" t="n">
        <v>46752</v>
      </c>
      <c r="B159" s="50"/>
      <c r="C159" s="50"/>
      <c r="D159" s="50"/>
      <c r="E159" s="50"/>
      <c r="F159" s="50"/>
      <c r="G159" s="50"/>
      <c r="H159" s="50"/>
      <c r="I159" s="50"/>
      <c r="J159" s="50"/>
      <c r="K159" s="50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0" min="2" style="1" width="16"/>
  </cols>
  <sheetData>
    <row r="1" customFormat="false" ht="15" hidden="false" customHeight="true" outlineLevel="0" collapsed="false">
      <c r="A1" s="49" t="s">
        <v>110</v>
      </c>
      <c r="B1" s="49"/>
      <c r="C1" s="49"/>
      <c r="D1" s="49"/>
      <c r="E1" s="49"/>
      <c r="F1" s="49"/>
      <c r="G1" s="49"/>
      <c r="H1" s="49"/>
      <c r="I1" s="49"/>
      <c r="J1" s="49"/>
    </row>
    <row r="2" customFormat="false" ht="41.25" hidden="false" customHeight="true" outlineLevel="0" collapsed="false">
      <c r="A2" s="13" t="s">
        <v>98</v>
      </c>
      <c r="B2" s="13" t="s">
        <v>99</v>
      </c>
      <c r="C2" s="13" t="s">
        <v>100</v>
      </c>
      <c r="D2" s="13" t="s">
        <v>101</v>
      </c>
      <c r="E2" s="13" t="s">
        <v>102</v>
      </c>
      <c r="F2" s="13" t="s">
        <v>103</v>
      </c>
      <c r="G2" s="13" t="s">
        <v>111</v>
      </c>
      <c r="H2" s="13" t="s">
        <v>105</v>
      </c>
      <c r="I2" s="13" t="s">
        <v>106</v>
      </c>
      <c r="J2" s="13" t="s">
        <v>108</v>
      </c>
    </row>
    <row r="3" customFormat="false" ht="15" hidden="false" customHeight="true" outlineLevel="0" collapsed="false">
      <c r="A3" s="20" t="n">
        <v>45660</v>
      </c>
      <c r="B3" s="21" t="n">
        <v>100</v>
      </c>
      <c r="C3" s="21" t="n">
        <v>0</v>
      </c>
      <c r="D3" s="21" t="n">
        <v>1</v>
      </c>
      <c r="E3" s="21" t="n">
        <v>6</v>
      </c>
      <c r="F3" s="21" t="n">
        <v>157</v>
      </c>
      <c r="G3" s="21" t="n">
        <v>163</v>
      </c>
      <c r="H3" s="21" t="n">
        <v>12</v>
      </c>
      <c r="I3" s="21" t="n">
        <v>0</v>
      </c>
      <c r="J3" s="21" t="s">
        <v>112</v>
      </c>
    </row>
    <row r="4" customFormat="false" ht="15" hidden="false" customHeight="true" outlineLevel="0" collapsed="false">
      <c r="A4" s="23" t="n">
        <v>45667</v>
      </c>
      <c r="B4" s="24" t="n">
        <v>110</v>
      </c>
      <c r="C4" s="24" t="n">
        <v>10</v>
      </c>
      <c r="D4" s="24" t="n">
        <v>1</v>
      </c>
      <c r="E4" s="24" t="n">
        <v>6</v>
      </c>
      <c r="F4" s="24" t="n">
        <v>42</v>
      </c>
      <c r="G4" s="24" t="n">
        <v>48</v>
      </c>
      <c r="H4" s="24" t="n">
        <v>22</v>
      </c>
      <c r="I4" s="24" t="n">
        <v>0</v>
      </c>
      <c r="J4" s="24"/>
    </row>
    <row r="5" customFormat="false" ht="15" hidden="false" customHeight="true" outlineLevel="0" collapsed="false">
      <c r="A5" s="20" t="n">
        <v>45674</v>
      </c>
      <c r="B5" s="21" t="n">
        <v>115</v>
      </c>
      <c r="C5" s="21" t="n">
        <v>5</v>
      </c>
      <c r="D5" s="21" t="n">
        <v>1</v>
      </c>
      <c r="E5" s="21" t="n">
        <v>6</v>
      </c>
      <c r="F5" s="21" t="n">
        <v>36</v>
      </c>
      <c r="G5" s="21" t="n">
        <v>42</v>
      </c>
      <c r="H5" s="21" t="n">
        <v>19</v>
      </c>
      <c r="I5" s="21" t="n">
        <v>0</v>
      </c>
      <c r="J5" s="21"/>
    </row>
    <row r="6" customFormat="false" ht="15" hidden="false" customHeight="true" outlineLevel="0" collapsed="false">
      <c r="A6" s="23" t="n">
        <v>45681</v>
      </c>
      <c r="B6" s="24" t="n">
        <v>118</v>
      </c>
      <c r="C6" s="24" t="n">
        <v>3</v>
      </c>
      <c r="D6" s="24" t="n">
        <v>1</v>
      </c>
      <c r="E6" s="24" t="n">
        <v>7</v>
      </c>
      <c r="F6" s="24" t="n">
        <v>280</v>
      </c>
      <c r="G6" s="24" t="n">
        <v>287</v>
      </c>
      <c r="H6" s="24" t="n">
        <v>29</v>
      </c>
      <c r="I6" s="24" t="n">
        <v>0</v>
      </c>
      <c r="J6" s="24"/>
    </row>
    <row r="7" customFormat="false" ht="15" hidden="false" customHeight="true" outlineLevel="0" collapsed="false">
      <c r="A7" s="20" t="n">
        <v>45688</v>
      </c>
      <c r="B7" s="21" t="n">
        <v>120</v>
      </c>
      <c r="C7" s="21" t="n">
        <v>2</v>
      </c>
      <c r="D7" s="21" t="n">
        <v>0</v>
      </c>
      <c r="E7" s="21" t="n">
        <v>146</v>
      </c>
      <c r="F7" s="51" t="n">
        <v>100500</v>
      </c>
      <c r="G7" s="21" t="n">
        <v>10646</v>
      </c>
      <c r="H7" s="21" t="n">
        <v>285</v>
      </c>
      <c r="I7" s="21" t="n">
        <v>0</v>
      </c>
      <c r="J7" s="21"/>
    </row>
    <row r="8" customFormat="false" ht="15" hidden="false" customHeight="true" outlineLevel="0" collapsed="false">
      <c r="A8" s="23" t="n">
        <v>45695</v>
      </c>
      <c r="B8" s="24" t="n">
        <v>130</v>
      </c>
      <c r="C8" s="24" t="n">
        <v>10</v>
      </c>
      <c r="D8" s="24" t="n">
        <v>1</v>
      </c>
      <c r="E8" s="24" t="n">
        <v>3</v>
      </c>
      <c r="F8" s="24" t="n">
        <v>359</v>
      </c>
      <c r="G8" s="24" t="n">
        <v>362</v>
      </c>
      <c r="H8" s="24" t="n">
        <v>16</v>
      </c>
      <c r="I8" s="24" t="n">
        <v>0</v>
      </c>
      <c r="J8" s="24"/>
    </row>
    <row r="9" customFormat="false" ht="15" hidden="false" customHeight="true" outlineLevel="0" collapsed="false">
      <c r="A9" s="20" t="n">
        <v>45702</v>
      </c>
      <c r="B9" s="21" t="n">
        <v>135</v>
      </c>
      <c r="C9" s="21" t="n">
        <v>5</v>
      </c>
      <c r="D9" s="21" t="n">
        <v>1</v>
      </c>
      <c r="E9" s="21" t="n">
        <v>1</v>
      </c>
      <c r="F9" s="21" t="n">
        <v>158</v>
      </c>
      <c r="G9" s="21" t="n">
        <v>159</v>
      </c>
      <c r="H9" s="21" t="n">
        <v>8</v>
      </c>
      <c r="I9" s="21" t="n">
        <v>0</v>
      </c>
      <c r="J9" s="21"/>
    </row>
    <row r="10" customFormat="false" ht="15" hidden="false" customHeight="true" outlineLevel="0" collapsed="false">
      <c r="A10" s="23" t="n">
        <v>45709</v>
      </c>
      <c r="B10" s="24" t="n">
        <v>138</v>
      </c>
      <c r="C10" s="24" t="n">
        <v>3</v>
      </c>
      <c r="D10" s="24" t="n">
        <v>0</v>
      </c>
      <c r="E10" s="24" t="n">
        <v>1</v>
      </c>
      <c r="F10" s="24" t="n">
        <v>73</v>
      </c>
      <c r="G10" s="24" t="n">
        <v>74</v>
      </c>
      <c r="H10" s="24" t="n">
        <v>12</v>
      </c>
      <c r="I10" s="24" t="n">
        <v>0</v>
      </c>
      <c r="J10" s="24"/>
    </row>
    <row r="11" customFormat="false" ht="15" hidden="false" customHeight="true" outlineLevel="0" collapsed="false">
      <c r="A11" s="20" t="n">
        <v>45716</v>
      </c>
      <c r="B11" s="21" t="n">
        <v>140</v>
      </c>
      <c r="C11" s="21" t="n">
        <v>2</v>
      </c>
      <c r="D11" s="21" t="n">
        <v>0</v>
      </c>
      <c r="E11" s="21" t="n">
        <v>1</v>
      </c>
      <c r="F11" s="21" t="n">
        <v>38</v>
      </c>
      <c r="G11" s="21" t="n">
        <v>39</v>
      </c>
      <c r="H11" s="21" t="n">
        <v>5</v>
      </c>
      <c r="I11" s="21" t="n">
        <v>0</v>
      </c>
      <c r="J11" s="21"/>
    </row>
    <row r="12" customFormat="false" ht="15" hidden="false" customHeight="true" outlineLevel="0" collapsed="false">
      <c r="A12" s="23" t="n">
        <v>45723</v>
      </c>
      <c r="B12" s="24" t="n">
        <v>142</v>
      </c>
      <c r="C12" s="24" t="n">
        <v>2</v>
      </c>
      <c r="D12" s="24" t="n">
        <v>0</v>
      </c>
      <c r="E12" s="24" t="n">
        <v>1</v>
      </c>
      <c r="F12" s="24" t="n">
        <v>30</v>
      </c>
      <c r="G12" s="24" t="n">
        <v>31</v>
      </c>
      <c r="H12" s="24" t="n">
        <v>7</v>
      </c>
      <c r="I12" s="24" t="n">
        <v>0</v>
      </c>
      <c r="J12" s="24"/>
    </row>
    <row r="13" customFormat="false" ht="15" hidden="false" customHeight="true" outlineLevel="0" collapsed="false">
      <c r="A13" s="20" t="n">
        <v>45730</v>
      </c>
      <c r="B13" s="21" t="n">
        <v>143</v>
      </c>
      <c r="C13" s="21" t="n">
        <v>1</v>
      </c>
      <c r="D13" s="21" t="n">
        <v>1</v>
      </c>
      <c r="E13" s="21" t="n">
        <v>4</v>
      </c>
      <c r="F13" s="21" t="n">
        <v>86</v>
      </c>
      <c r="G13" s="21" t="n">
        <v>90</v>
      </c>
      <c r="H13" s="21" t="n">
        <v>0</v>
      </c>
      <c r="I13" s="21" t="n">
        <v>0</v>
      </c>
      <c r="J13" s="21"/>
    </row>
    <row r="14" customFormat="false" ht="15" hidden="false" customHeight="true" outlineLevel="0" collapsed="false">
      <c r="A14" s="23" t="n">
        <v>45737</v>
      </c>
      <c r="B14" s="24" t="n">
        <v>144</v>
      </c>
      <c r="C14" s="24" t="n">
        <v>1</v>
      </c>
      <c r="D14" s="24" t="n">
        <v>2</v>
      </c>
      <c r="E14" s="24" t="n">
        <v>26</v>
      </c>
      <c r="F14" s="24" t="n">
        <v>418</v>
      </c>
      <c r="G14" s="24" t="n">
        <v>444</v>
      </c>
      <c r="H14" s="24" t="n">
        <v>0</v>
      </c>
      <c r="I14" s="24" t="n">
        <v>0</v>
      </c>
      <c r="J14" s="24"/>
    </row>
    <row r="15" customFormat="false" ht="15" hidden="false" customHeight="true" outlineLevel="0" collapsed="false">
      <c r="A15" s="20" t="n">
        <v>45744</v>
      </c>
      <c r="B15" s="21" t="n">
        <v>146</v>
      </c>
      <c r="C15" s="21" t="n">
        <v>2</v>
      </c>
      <c r="D15" s="21" t="n">
        <v>2</v>
      </c>
      <c r="E15" s="21" t="n">
        <v>7</v>
      </c>
      <c r="F15" s="21" t="n">
        <v>113</v>
      </c>
      <c r="G15" s="21" t="n">
        <v>120</v>
      </c>
      <c r="H15" s="21" t="n">
        <v>0</v>
      </c>
      <c r="I15" s="21" t="n">
        <v>0</v>
      </c>
      <c r="J15" s="21"/>
    </row>
    <row r="16" customFormat="false" ht="15" hidden="false" customHeight="true" outlineLevel="0" collapsed="false">
      <c r="A16" s="23" t="n">
        <v>45751</v>
      </c>
      <c r="B16" s="24" t="n">
        <v>148</v>
      </c>
      <c r="C16" s="24" t="n">
        <v>2</v>
      </c>
      <c r="D16" s="24" t="n">
        <v>1</v>
      </c>
      <c r="E16" s="24" t="n">
        <v>194</v>
      </c>
      <c r="F16" s="24" t="n">
        <v>7</v>
      </c>
      <c r="G16" s="24" t="n">
        <v>201</v>
      </c>
      <c r="H16" s="24" t="n">
        <v>0</v>
      </c>
      <c r="I16" s="24" t="n">
        <v>0</v>
      </c>
      <c r="J16" s="24"/>
    </row>
    <row r="17" customFormat="false" ht="15" hidden="false" customHeight="true" outlineLevel="0" collapsed="false">
      <c r="A17" s="20" t="n">
        <v>45758</v>
      </c>
      <c r="B17" s="21" t="n">
        <v>149</v>
      </c>
      <c r="C17" s="21" t="n">
        <v>1</v>
      </c>
      <c r="D17" s="21" t="n">
        <v>2</v>
      </c>
      <c r="E17" s="21" t="n">
        <v>5</v>
      </c>
      <c r="F17" s="21" t="n">
        <v>101</v>
      </c>
      <c r="G17" s="21" t="n">
        <v>106</v>
      </c>
      <c r="H17" s="21" t="n">
        <v>2</v>
      </c>
      <c r="I17" s="21" t="n">
        <v>0</v>
      </c>
      <c r="J17" s="21"/>
    </row>
    <row r="18" customFormat="false" ht="15" hidden="false" customHeight="true" outlineLevel="0" collapsed="false">
      <c r="A18" s="23" t="n">
        <v>45765</v>
      </c>
      <c r="B18" s="24" t="n">
        <v>150</v>
      </c>
      <c r="C18" s="24" t="n">
        <v>1</v>
      </c>
      <c r="D18" s="24" t="n">
        <v>1</v>
      </c>
      <c r="E18" s="24" t="n">
        <v>15</v>
      </c>
      <c r="F18" s="24" t="n">
        <v>212</v>
      </c>
      <c r="G18" s="24" t="n">
        <v>227</v>
      </c>
      <c r="H18" s="24" t="n">
        <v>3</v>
      </c>
      <c r="I18" s="24" t="n">
        <v>0</v>
      </c>
      <c r="J18" s="24"/>
    </row>
    <row r="19" customFormat="false" ht="15" hidden="false" customHeight="true" outlineLevel="0" collapsed="false">
      <c r="A19" s="20" t="n">
        <v>45772</v>
      </c>
      <c r="B19" s="21" t="n">
        <v>152</v>
      </c>
      <c r="C19" s="21" t="n">
        <v>2</v>
      </c>
      <c r="D19" s="21" t="n">
        <v>2</v>
      </c>
      <c r="E19" s="21" t="n">
        <v>17</v>
      </c>
      <c r="F19" s="21" t="n">
        <v>274</v>
      </c>
      <c r="G19" s="21" t="n">
        <v>291</v>
      </c>
      <c r="H19" s="21" t="n">
        <v>2</v>
      </c>
      <c r="I19" s="21" t="n">
        <v>1</v>
      </c>
      <c r="J19" s="21"/>
    </row>
    <row r="20" customFormat="false" ht="15" hidden="false" customHeight="true" outlineLevel="0" collapsed="false">
      <c r="A20" s="23" t="n">
        <v>45779</v>
      </c>
      <c r="B20" s="24" t="n">
        <v>153</v>
      </c>
      <c r="C20" s="24" t="n">
        <v>1</v>
      </c>
      <c r="D20" s="24" t="n">
        <v>1</v>
      </c>
      <c r="E20" s="24" t="n">
        <v>10</v>
      </c>
      <c r="F20" s="24" t="n">
        <v>67</v>
      </c>
      <c r="G20" s="24" t="n">
        <v>77</v>
      </c>
      <c r="H20" s="24" t="n">
        <v>0</v>
      </c>
      <c r="I20" s="24" t="n">
        <v>1</v>
      </c>
      <c r="J20" s="24"/>
    </row>
    <row r="21" customFormat="false" ht="15" hidden="false" customHeight="true" outlineLevel="0" collapsed="false">
      <c r="A21" s="20" t="n">
        <v>45786</v>
      </c>
      <c r="B21" s="21" t="n">
        <v>154</v>
      </c>
      <c r="C21" s="21" t="n">
        <v>1</v>
      </c>
      <c r="D21" s="21" t="n">
        <v>1</v>
      </c>
      <c r="E21" s="21" t="n">
        <v>5</v>
      </c>
      <c r="F21" s="21" t="n">
        <v>125</v>
      </c>
      <c r="G21" s="21" t="n">
        <v>130</v>
      </c>
      <c r="H21" s="21" t="n">
        <v>0</v>
      </c>
      <c r="I21" s="21" t="n">
        <v>0</v>
      </c>
      <c r="J21" s="21"/>
    </row>
    <row r="22" customFormat="false" ht="15" hidden="false" customHeight="true" outlineLevel="0" collapsed="false">
      <c r="A22" s="23" t="n">
        <v>45793</v>
      </c>
      <c r="B22" s="24" t="n">
        <v>156</v>
      </c>
      <c r="C22" s="24" t="n">
        <v>2</v>
      </c>
      <c r="D22" s="24" t="n">
        <v>1</v>
      </c>
      <c r="E22" s="24" t="n">
        <v>6</v>
      </c>
      <c r="F22" s="24" t="n">
        <v>25</v>
      </c>
      <c r="G22" s="24" t="n">
        <v>31</v>
      </c>
      <c r="H22" s="24" t="n">
        <v>0</v>
      </c>
      <c r="I22" s="24" t="n">
        <v>0</v>
      </c>
      <c r="J22" s="24"/>
    </row>
    <row r="23" customFormat="false" ht="15" hidden="false" customHeight="true" outlineLevel="0" collapsed="false">
      <c r="A23" s="20" t="n">
        <v>45800</v>
      </c>
      <c r="B23" s="21" t="n">
        <v>157</v>
      </c>
      <c r="C23" s="21" t="n">
        <v>1</v>
      </c>
      <c r="D23" s="21" t="n">
        <v>1</v>
      </c>
      <c r="E23" s="21" t="n">
        <v>6</v>
      </c>
      <c r="F23" s="21" t="n">
        <v>272</v>
      </c>
      <c r="G23" s="21" t="n">
        <v>278</v>
      </c>
      <c r="H23" s="21" t="n">
        <v>0</v>
      </c>
      <c r="I23" s="21" t="n">
        <v>0</v>
      </c>
      <c r="J23" s="21"/>
    </row>
    <row r="24" customFormat="false" ht="15" hidden="false" customHeight="true" outlineLevel="0" collapsed="false">
      <c r="A24" s="23" t="n">
        <v>45807</v>
      </c>
      <c r="B24" s="24" t="n">
        <v>158</v>
      </c>
      <c r="C24" s="24" t="n">
        <v>1</v>
      </c>
      <c r="D24" s="24" t="n">
        <v>1</v>
      </c>
      <c r="E24" s="24" t="n">
        <v>10</v>
      </c>
      <c r="F24" s="24" t="n">
        <v>121</v>
      </c>
      <c r="G24" s="24" t="n">
        <v>131</v>
      </c>
      <c r="H24" s="24" t="n">
        <v>0</v>
      </c>
      <c r="I24" s="24" t="n">
        <v>0</v>
      </c>
      <c r="J24" s="24"/>
    </row>
    <row r="25" customFormat="false" ht="15" hidden="false" customHeight="true" outlineLevel="0" collapsed="false">
      <c r="A25" s="20" t="n">
        <v>45814</v>
      </c>
      <c r="B25" s="21" t="n">
        <v>160</v>
      </c>
      <c r="C25" s="21" t="n">
        <v>2</v>
      </c>
      <c r="D25" s="21" t="n">
        <v>1</v>
      </c>
      <c r="E25" s="21" t="n">
        <v>12</v>
      </c>
      <c r="F25" s="21" t="n">
        <v>78</v>
      </c>
      <c r="G25" s="21" t="n">
        <v>100</v>
      </c>
      <c r="H25" s="21" t="n">
        <v>0</v>
      </c>
      <c r="I25" s="21" t="n">
        <v>0</v>
      </c>
      <c r="J25" s="21"/>
    </row>
    <row r="26" customFormat="false" ht="15" hidden="false" customHeight="true" outlineLevel="0" collapsed="false">
      <c r="A26" s="23" t="n">
        <v>45821</v>
      </c>
      <c r="B26" s="24" t="n">
        <v>167</v>
      </c>
      <c r="C26" s="24" t="n">
        <v>7</v>
      </c>
      <c r="D26" s="24" t="n">
        <v>0</v>
      </c>
      <c r="E26" s="24" t="n">
        <v>7</v>
      </c>
      <c r="F26" s="24" t="n">
        <v>89</v>
      </c>
      <c r="G26" s="24" t="n">
        <v>96</v>
      </c>
      <c r="H26" s="24" t="n">
        <v>0</v>
      </c>
      <c r="I26" s="24" t="n">
        <v>0</v>
      </c>
      <c r="J26" s="24"/>
    </row>
    <row r="27" customFormat="false" ht="15" hidden="false" customHeight="true" outlineLevel="0" collapsed="false">
      <c r="A27" s="20" t="n">
        <v>45828</v>
      </c>
      <c r="B27" s="21" t="n">
        <v>169</v>
      </c>
      <c r="C27" s="21" t="n">
        <v>2</v>
      </c>
      <c r="D27" s="21" t="n">
        <v>1</v>
      </c>
      <c r="E27" s="21" t="n">
        <v>12</v>
      </c>
      <c r="F27" s="21" t="n">
        <v>90</v>
      </c>
      <c r="G27" s="21" t="n">
        <v>102</v>
      </c>
      <c r="H27" s="21" t="n">
        <v>0</v>
      </c>
      <c r="I27" s="21" t="n">
        <v>0</v>
      </c>
      <c r="J27" s="21"/>
    </row>
    <row r="28" customFormat="false" ht="15" hidden="false" customHeight="true" outlineLevel="0" collapsed="false">
      <c r="A28" s="23" t="n">
        <v>45835</v>
      </c>
      <c r="B28" s="24" t="n">
        <v>175</v>
      </c>
      <c r="C28" s="24" t="n">
        <v>6</v>
      </c>
      <c r="D28" s="24" t="n">
        <v>0</v>
      </c>
      <c r="E28" s="24" t="n">
        <v>25</v>
      </c>
      <c r="F28" s="24" t="n">
        <v>70</v>
      </c>
      <c r="G28" s="24" t="n">
        <v>95</v>
      </c>
      <c r="H28" s="24" t="n">
        <v>0</v>
      </c>
      <c r="I28" s="24" t="n">
        <v>0</v>
      </c>
      <c r="J28" s="24"/>
    </row>
    <row r="29" customFormat="false" ht="15" hidden="false" customHeight="true" outlineLevel="0" collapsed="false">
      <c r="A29" s="20" t="n">
        <v>45842</v>
      </c>
      <c r="B29" s="21" t="n">
        <v>180</v>
      </c>
      <c r="C29" s="21" t="n">
        <v>5</v>
      </c>
      <c r="D29" s="21" t="n">
        <v>0</v>
      </c>
      <c r="E29" s="21" t="n">
        <v>8</v>
      </c>
      <c r="F29" s="21" t="n">
        <v>30</v>
      </c>
      <c r="G29" s="21" t="n">
        <v>38</v>
      </c>
      <c r="H29" s="21" t="n">
        <v>0</v>
      </c>
      <c r="I29" s="21" t="n">
        <v>0</v>
      </c>
      <c r="J29" s="21"/>
    </row>
    <row r="30" customFormat="false" ht="15" hidden="false" customHeight="true" outlineLevel="0" collapsed="false">
      <c r="A30" s="23" t="n">
        <v>45849</v>
      </c>
      <c r="B30" s="24" t="n">
        <v>185</v>
      </c>
      <c r="C30" s="24" t="n">
        <v>5</v>
      </c>
      <c r="D30" s="24" t="n">
        <v>0</v>
      </c>
      <c r="E30" s="24" t="n">
        <v>13</v>
      </c>
      <c r="F30" s="24" t="n">
        <v>45</v>
      </c>
      <c r="G30" s="24" t="n">
        <v>58</v>
      </c>
      <c r="H30" s="24" t="n">
        <v>0</v>
      </c>
      <c r="I30" s="24" t="n">
        <v>0</v>
      </c>
      <c r="J30" s="24"/>
    </row>
    <row r="31" customFormat="false" ht="15" hidden="false" customHeight="true" outlineLevel="0" collapsed="false">
      <c r="A31" s="20" t="n">
        <v>45856</v>
      </c>
      <c r="B31" s="21" t="n">
        <v>187</v>
      </c>
      <c r="C31" s="21" t="n">
        <v>2</v>
      </c>
      <c r="D31" s="21" t="n">
        <v>1</v>
      </c>
      <c r="E31" s="21" t="n">
        <v>14</v>
      </c>
      <c r="F31" s="21" t="n">
        <v>43</v>
      </c>
      <c r="G31" s="21" t="n">
        <v>57</v>
      </c>
      <c r="H31" s="21" t="n">
        <v>0</v>
      </c>
      <c r="I31" s="21" t="n">
        <v>0</v>
      </c>
      <c r="J31" s="21"/>
    </row>
    <row r="32" customFormat="false" ht="15" hidden="false" customHeight="true" outlineLevel="0" collapsed="false">
      <c r="A32" s="23" t="n">
        <v>45863</v>
      </c>
      <c r="B32" s="24" t="n">
        <v>188</v>
      </c>
      <c r="C32" s="24" t="n">
        <v>1</v>
      </c>
      <c r="D32" s="24" t="n">
        <v>1</v>
      </c>
      <c r="E32" s="24" t="n">
        <v>11</v>
      </c>
      <c r="F32" s="24" t="n">
        <v>65</v>
      </c>
      <c r="G32" s="24" t="n">
        <v>76</v>
      </c>
      <c r="H32" s="24" t="n">
        <v>0</v>
      </c>
      <c r="I32" s="24" t="n">
        <v>0</v>
      </c>
      <c r="J32" s="24"/>
    </row>
    <row r="33" customFormat="false" ht="15" hidden="false" customHeight="true" outlineLevel="0" collapsed="false">
      <c r="A33" s="20" t="n">
        <v>45870</v>
      </c>
      <c r="B33" s="21" t="n">
        <v>190</v>
      </c>
      <c r="C33" s="21" t="n">
        <v>2</v>
      </c>
      <c r="D33" s="21" t="n">
        <v>0</v>
      </c>
      <c r="E33" s="21" t="n">
        <v>17</v>
      </c>
      <c r="F33" s="21" t="n">
        <v>55</v>
      </c>
      <c r="G33" s="21" t="n">
        <v>73</v>
      </c>
      <c r="H33" s="21" t="n">
        <v>0</v>
      </c>
      <c r="I33" s="21" t="n">
        <v>0</v>
      </c>
      <c r="J33" s="21"/>
    </row>
    <row r="34" customFormat="false" ht="15" hidden="false" customHeight="true" outlineLevel="0" collapsed="false">
      <c r="A34" s="23" t="n">
        <v>45877</v>
      </c>
      <c r="B34" s="24" t="n">
        <v>195</v>
      </c>
      <c r="C34" s="24" t="n">
        <v>5</v>
      </c>
      <c r="D34" s="24" t="n">
        <v>1</v>
      </c>
      <c r="E34" s="24" t="n">
        <v>7</v>
      </c>
      <c r="F34" s="24" t="n">
        <v>34</v>
      </c>
      <c r="G34" s="24" t="n">
        <v>41</v>
      </c>
      <c r="H34" s="24" t="n">
        <v>0</v>
      </c>
      <c r="I34" s="24" t="n">
        <v>0</v>
      </c>
      <c r="J34" s="24"/>
    </row>
    <row r="35" customFormat="false" ht="15" hidden="false" customHeight="true" outlineLevel="0" collapsed="false">
      <c r="A35" s="20" t="n">
        <v>45884</v>
      </c>
      <c r="B35" s="21" t="n">
        <v>190</v>
      </c>
      <c r="C35" s="21" t="n">
        <v>-5</v>
      </c>
      <c r="D35" s="21" t="n">
        <v>0</v>
      </c>
      <c r="E35" s="21" t="n">
        <v>6</v>
      </c>
      <c r="F35" s="21" t="n">
        <v>20</v>
      </c>
      <c r="G35" s="21" t="n">
        <v>26</v>
      </c>
      <c r="H35" s="21" t="n">
        <v>0</v>
      </c>
      <c r="I35" s="21" t="n">
        <v>0</v>
      </c>
      <c r="J35" s="21"/>
    </row>
    <row r="36" customFormat="false" ht="15" hidden="false" customHeight="true" outlineLevel="0" collapsed="false">
      <c r="A36" s="23" t="n">
        <v>45891</v>
      </c>
      <c r="B36" s="24" t="n">
        <v>195</v>
      </c>
      <c r="C36" s="24" t="n">
        <v>5</v>
      </c>
      <c r="D36" s="24" t="n">
        <v>0</v>
      </c>
      <c r="E36" s="24" t="n">
        <v>140</v>
      </c>
      <c r="F36" s="24" t="n">
        <v>11</v>
      </c>
      <c r="G36" s="24" t="n">
        <v>151</v>
      </c>
      <c r="H36" s="24" t="n">
        <v>0</v>
      </c>
      <c r="I36" s="24" t="n">
        <v>0</v>
      </c>
      <c r="J36" s="24"/>
    </row>
    <row r="37" customFormat="false" ht="15" hidden="false" customHeight="true" outlineLevel="0" collapsed="false">
      <c r="A37" s="20" t="n">
        <v>45898</v>
      </c>
      <c r="B37" s="21" t="n">
        <v>200</v>
      </c>
      <c r="C37" s="21" t="n">
        <v>5</v>
      </c>
      <c r="D37" s="21" t="n">
        <v>0</v>
      </c>
      <c r="E37" s="21" t="n">
        <v>135</v>
      </c>
      <c r="F37" s="21" t="n">
        <v>11</v>
      </c>
      <c r="G37" s="21" t="n">
        <v>146</v>
      </c>
      <c r="H37" s="21" t="n">
        <v>0</v>
      </c>
      <c r="I37" s="21" t="n">
        <v>0</v>
      </c>
      <c r="J37" s="21"/>
    </row>
    <row r="38" customFormat="false" ht="15" hidden="false" customHeight="true" outlineLevel="0" collapsed="false">
      <c r="A38" s="23" t="n">
        <v>45905</v>
      </c>
      <c r="B38" s="24" t="n">
        <v>202</v>
      </c>
      <c r="C38" s="24" t="n">
        <v>2</v>
      </c>
      <c r="D38" s="24" t="n">
        <v>0</v>
      </c>
      <c r="E38" s="24" t="n">
        <v>7</v>
      </c>
      <c r="F38" s="24" t="n">
        <v>13</v>
      </c>
      <c r="G38" s="24" t="n">
        <v>20</v>
      </c>
      <c r="H38" s="24" t="n">
        <v>0</v>
      </c>
      <c r="I38" s="24" t="n">
        <v>0</v>
      </c>
      <c r="J38" s="24"/>
    </row>
    <row r="39" customFormat="false" ht="15" hidden="false" customHeight="true" outlineLevel="0" collapsed="false">
      <c r="A39" s="20" t="n">
        <v>45912</v>
      </c>
      <c r="B39" s="21" t="n">
        <v>200</v>
      </c>
      <c r="C39" s="21" t="n">
        <v>-2</v>
      </c>
      <c r="D39" s="21" t="n">
        <v>0</v>
      </c>
      <c r="E39" s="21" t="n">
        <v>15</v>
      </c>
      <c r="F39" s="21" t="n">
        <v>35</v>
      </c>
      <c r="G39" s="21" t="n">
        <v>50</v>
      </c>
      <c r="H39" s="21" t="n">
        <v>0</v>
      </c>
      <c r="I39" s="21" t="n">
        <v>0</v>
      </c>
      <c r="J39" s="21"/>
    </row>
    <row r="40" customFormat="false" ht="15" hidden="false" customHeight="true" outlineLevel="0" collapsed="false">
      <c r="A40" s="23" t="n">
        <v>45919</v>
      </c>
      <c r="B40" s="24" t="n">
        <v>199</v>
      </c>
      <c r="C40" s="24" t="n">
        <v>-1</v>
      </c>
      <c r="D40" s="24" t="n">
        <v>1</v>
      </c>
      <c r="E40" s="24" t="n">
        <v>35</v>
      </c>
      <c r="F40" s="24" t="n">
        <v>15</v>
      </c>
      <c r="G40" s="24" t="n">
        <v>40</v>
      </c>
      <c r="H40" s="24" t="n">
        <v>0</v>
      </c>
      <c r="I40" s="24" t="n">
        <v>0</v>
      </c>
      <c r="J40" s="24"/>
    </row>
    <row r="41" customFormat="false" ht="15" hidden="false" customHeight="true" outlineLevel="0" collapsed="false">
      <c r="A41" s="20" t="n">
        <v>45926</v>
      </c>
      <c r="B41" s="21" t="n">
        <v>210</v>
      </c>
      <c r="C41" s="21" t="n">
        <v>11</v>
      </c>
      <c r="D41" s="21" t="n">
        <v>2</v>
      </c>
      <c r="E41" s="21" t="n">
        <v>11</v>
      </c>
      <c r="F41" s="21" t="n">
        <v>426</v>
      </c>
      <c r="G41" s="21" t="n">
        <v>436</v>
      </c>
      <c r="H41" s="21" t="n">
        <v>0</v>
      </c>
      <c r="I41" s="21" t="n">
        <v>0</v>
      </c>
      <c r="J41" s="21"/>
    </row>
    <row r="42" customFormat="false" ht="15" hidden="false" customHeight="true" outlineLevel="0" collapsed="false">
      <c r="A42" s="23" t="n">
        <v>45933</v>
      </c>
      <c r="B42" s="24" t="n">
        <v>215</v>
      </c>
      <c r="C42" s="24" t="n">
        <v>5</v>
      </c>
      <c r="D42" s="24" t="n">
        <v>0</v>
      </c>
      <c r="E42" s="24" t="n">
        <v>9</v>
      </c>
      <c r="F42" s="24" t="n">
        <v>230</v>
      </c>
      <c r="G42" s="24" t="n">
        <v>239</v>
      </c>
      <c r="H42" s="24" t="n">
        <v>0</v>
      </c>
      <c r="I42" s="24" t="n">
        <v>0</v>
      </c>
      <c r="J42" s="24"/>
    </row>
    <row r="43" customFormat="false" ht="15" hidden="false" customHeight="true" outlineLevel="0" collapsed="false">
      <c r="A43" s="20" t="n">
        <v>45940</v>
      </c>
      <c r="B43" s="21" t="n">
        <v>209</v>
      </c>
      <c r="C43" s="21" t="n">
        <v>-6</v>
      </c>
      <c r="D43" s="21" t="n">
        <v>0</v>
      </c>
      <c r="E43" s="21" t="n">
        <v>2</v>
      </c>
      <c r="F43" s="21" t="n">
        <v>112</v>
      </c>
      <c r="G43" s="21" t="n">
        <v>114</v>
      </c>
      <c r="H43" s="21" t="n">
        <v>0</v>
      </c>
      <c r="I43" s="21" t="n">
        <v>0</v>
      </c>
      <c r="J43" s="21"/>
    </row>
    <row r="44" customFormat="false" ht="15" hidden="false" customHeight="true" outlineLevel="0" collapsed="false">
      <c r="A44" s="23" t="n">
        <v>45947</v>
      </c>
      <c r="B44" s="24" t="n">
        <v>210</v>
      </c>
      <c r="C44" s="24" t="n">
        <v>1</v>
      </c>
      <c r="D44" s="24" t="n">
        <v>1</v>
      </c>
      <c r="E44" s="24" t="n">
        <v>4</v>
      </c>
      <c r="F44" s="24" t="n">
        <v>111</v>
      </c>
      <c r="G44" s="24" t="n">
        <v>115</v>
      </c>
      <c r="H44" s="24" t="n">
        <v>0</v>
      </c>
      <c r="I44" s="24" t="n">
        <v>0</v>
      </c>
      <c r="J44" s="24"/>
    </row>
    <row r="45" customFormat="false" ht="15" hidden="false" customHeight="true" outlineLevel="0" collapsed="false">
      <c r="A45" s="20" t="n">
        <v>45954</v>
      </c>
      <c r="B45" s="21" t="n">
        <v>210</v>
      </c>
      <c r="C45" s="21" t="n">
        <v>0</v>
      </c>
      <c r="D45" s="21" t="n">
        <v>0</v>
      </c>
      <c r="E45" s="21" t="n">
        <v>20</v>
      </c>
      <c r="F45" s="21" t="n">
        <v>90</v>
      </c>
      <c r="G45" s="21" t="n">
        <v>110</v>
      </c>
      <c r="H45" s="21" t="n">
        <v>0</v>
      </c>
      <c r="I45" s="21" t="n">
        <v>0</v>
      </c>
      <c r="J45" s="21"/>
    </row>
    <row r="46" customFormat="false" ht="15" hidden="false" customHeight="true" outlineLevel="0" collapsed="false">
      <c r="A46" s="23" t="n">
        <v>45961</v>
      </c>
      <c r="B46" s="24" t="n">
        <v>210</v>
      </c>
      <c r="C46" s="24" t="n">
        <v>0</v>
      </c>
      <c r="D46" s="24" t="n">
        <v>0</v>
      </c>
      <c r="E46" s="24" t="n">
        <v>30</v>
      </c>
      <c r="F46" s="24" t="n">
        <v>100</v>
      </c>
      <c r="G46" s="24" t="n">
        <v>130</v>
      </c>
      <c r="H46" s="24" t="n">
        <v>0</v>
      </c>
      <c r="I46" s="24" t="n">
        <v>0</v>
      </c>
      <c r="J46" s="24"/>
    </row>
    <row r="47" customFormat="false" ht="15" hidden="false" customHeight="true" outlineLevel="0" collapsed="false">
      <c r="A47" s="20" t="n">
        <v>45968</v>
      </c>
      <c r="B47" s="21" t="n">
        <v>211</v>
      </c>
      <c r="C47" s="21" t="n">
        <v>1</v>
      </c>
      <c r="D47" s="21" t="n">
        <v>1</v>
      </c>
      <c r="E47" s="21" t="n">
        <v>25</v>
      </c>
      <c r="F47" s="21" t="n">
        <v>300</v>
      </c>
      <c r="G47" s="21" t="n">
        <v>325</v>
      </c>
      <c r="H47" s="21" t="n">
        <v>0</v>
      </c>
      <c r="I47" s="21" t="n">
        <v>0</v>
      </c>
      <c r="J47" s="21"/>
    </row>
    <row r="48" customFormat="false" ht="15" hidden="false" customHeight="true" outlineLevel="0" collapsed="false">
      <c r="A48" s="23" t="n">
        <v>45975</v>
      </c>
      <c r="B48" s="24" t="n">
        <v>211</v>
      </c>
      <c r="C48" s="24" t="n">
        <v>0</v>
      </c>
      <c r="D48" s="24" t="n">
        <v>1</v>
      </c>
      <c r="E48" s="24" t="n">
        <v>20</v>
      </c>
      <c r="F48" s="24" t="n">
        <v>78</v>
      </c>
      <c r="G48" s="24" t="n">
        <v>98</v>
      </c>
      <c r="H48" s="24" t="n">
        <v>0</v>
      </c>
      <c r="I48" s="24" t="n">
        <v>0</v>
      </c>
      <c r="J48" s="24"/>
    </row>
    <row r="49" customFormat="false" ht="15" hidden="false" customHeight="true" outlineLevel="0" collapsed="false">
      <c r="A49" s="20" t="n">
        <v>45982</v>
      </c>
      <c r="B49" s="21" t="n">
        <v>211</v>
      </c>
      <c r="C49" s="21" t="n">
        <v>0</v>
      </c>
      <c r="D49" s="21" t="n">
        <v>1</v>
      </c>
      <c r="E49" s="21" t="n">
        <v>25</v>
      </c>
      <c r="F49" s="21" t="n">
        <v>60</v>
      </c>
      <c r="G49" s="21" t="n">
        <v>85</v>
      </c>
      <c r="H49" s="21" t="n">
        <v>0</v>
      </c>
      <c r="I49" s="21" t="n">
        <v>0</v>
      </c>
      <c r="J49" s="21"/>
    </row>
    <row r="50" customFormat="false" ht="15" hidden="false" customHeight="true" outlineLevel="0" collapsed="false">
      <c r="A50" s="23" t="n">
        <v>45989</v>
      </c>
      <c r="B50" s="24" t="n">
        <v>212</v>
      </c>
      <c r="C50" s="24" t="n">
        <v>1</v>
      </c>
      <c r="D50" s="24" t="n">
        <v>0</v>
      </c>
      <c r="E50" s="24" t="n">
        <v>50</v>
      </c>
      <c r="F50" s="24" t="n">
        <v>59</v>
      </c>
      <c r="G50" s="24" t="n">
        <v>109</v>
      </c>
      <c r="H50" s="24" t="n">
        <v>0</v>
      </c>
      <c r="I50" s="24" t="n">
        <v>0</v>
      </c>
      <c r="J50" s="24"/>
    </row>
    <row r="51" customFormat="false" ht="15" hidden="false" customHeight="true" outlineLevel="0" collapsed="false">
      <c r="A51" s="20" t="n">
        <v>45996</v>
      </c>
      <c r="B51" s="21" t="n">
        <v>212</v>
      </c>
      <c r="C51" s="21" t="n">
        <v>0</v>
      </c>
      <c r="D51" s="21" t="n">
        <v>0</v>
      </c>
      <c r="E51" s="21" t="n">
        <v>45</v>
      </c>
      <c r="F51" s="21" t="n">
        <v>40</v>
      </c>
      <c r="G51" s="21" t="n">
        <v>95</v>
      </c>
      <c r="H51" s="21" t="n">
        <v>0</v>
      </c>
      <c r="I51" s="21" t="n">
        <v>0</v>
      </c>
      <c r="J51" s="21"/>
    </row>
    <row r="52" customFormat="false" ht="15" hidden="false" customHeight="true" outlineLevel="0" collapsed="false">
      <c r="A52" s="23" t="n">
        <v>46003</v>
      </c>
      <c r="B52" s="24" t="n">
        <v>212</v>
      </c>
      <c r="C52" s="24" t="n">
        <v>0</v>
      </c>
      <c r="D52" s="24" t="n">
        <v>0</v>
      </c>
      <c r="E52" s="24" t="n">
        <v>32</v>
      </c>
      <c r="F52" s="24" t="n">
        <v>45</v>
      </c>
      <c r="G52" s="24" t="n">
        <v>77</v>
      </c>
      <c r="H52" s="24" t="n">
        <v>0</v>
      </c>
      <c r="I52" s="24" t="n">
        <v>0</v>
      </c>
      <c r="J52" s="24"/>
    </row>
    <row r="53" customFormat="false" ht="15" hidden="false" customHeight="true" outlineLevel="0" collapsed="false">
      <c r="A53" s="20" t="n">
        <v>46010</v>
      </c>
      <c r="B53" s="21" t="n">
        <v>213</v>
      </c>
      <c r="C53" s="21" t="n">
        <v>1</v>
      </c>
      <c r="D53" s="21" t="n">
        <v>0</v>
      </c>
      <c r="E53" s="21" t="n">
        <v>23</v>
      </c>
      <c r="F53" s="21" t="n">
        <v>34</v>
      </c>
      <c r="G53" s="21" t="n">
        <v>57</v>
      </c>
      <c r="H53" s="21" t="n">
        <v>0</v>
      </c>
      <c r="I53" s="21" t="n">
        <v>0</v>
      </c>
      <c r="J53" s="21"/>
    </row>
    <row r="54" customFormat="false" ht="15" hidden="false" customHeight="true" outlineLevel="0" collapsed="false">
      <c r="A54" s="23" t="n">
        <v>46017</v>
      </c>
      <c r="B54" s="24" t="n">
        <v>215</v>
      </c>
      <c r="C54" s="24" t="n">
        <v>2</v>
      </c>
      <c r="D54" s="24" t="n">
        <v>0</v>
      </c>
      <c r="E54" s="24" t="n">
        <v>32</v>
      </c>
      <c r="F54" s="24" t="n">
        <v>35</v>
      </c>
      <c r="G54" s="24" t="n">
        <v>67</v>
      </c>
      <c r="H54" s="24" t="n">
        <v>0</v>
      </c>
      <c r="I54" s="24" t="n">
        <v>0</v>
      </c>
      <c r="J54" s="24"/>
    </row>
    <row r="55" customFormat="false" ht="15" hidden="false" customHeight="true" outlineLevel="0" collapsed="false">
      <c r="A55" s="20" t="n">
        <v>46024</v>
      </c>
      <c r="B55" s="21" t="n">
        <v>215</v>
      </c>
      <c r="C55" s="21" t="n">
        <v>0</v>
      </c>
      <c r="D55" s="21" t="n">
        <v>1</v>
      </c>
      <c r="E55" s="21" t="n">
        <v>11</v>
      </c>
      <c r="F55" s="21" t="n">
        <v>33</v>
      </c>
      <c r="G55" s="21" t="n">
        <v>44</v>
      </c>
      <c r="H55" s="21" t="n">
        <v>0</v>
      </c>
      <c r="I55" s="21" t="n">
        <v>0</v>
      </c>
      <c r="J55" s="21"/>
    </row>
    <row r="56" customFormat="false" ht="15" hidden="false" customHeight="true" outlineLevel="0" collapsed="false">
      <c r="A56" s="23" t="n">
        <v>46031</v>
      </c>
      <c r="B56" s="24" t="n">
        <v>216</v>
      </c>
      <c r="C56" s="24" t="n">
        <v>1</v>
      </c>
      <c r="D56" s="24" t="n">
        <v>0</v>
      </c>
      <c r="E56" s="24" t="n">
        <v>23</v>
      </c>
      <c r="F56" s="24" t="n">
        <v>25</v>
      </c>
      <c r="G56" s="24" t="n">
        <v>48</v>
      </c>
      <c r="H56" s="24" t="n">
        <v>0</v>
      </c>
      <c r="I56" s="24" t="n">
        <v>0</v>
      </c>
      <c r="J56" s="24"/>
    </row>
    <row r="57" customFormat="false" ht="15" hidden="false" customHeight="true" outlineLevel="0" collapsed="false">
      <c r="A57" s="20" t="n">
        <v>46038</v>
      </c>
      <c r="B57" s="21" t="n">
        <v>218</v>
      </c>
      <c r="C57" s="21" t="n">
        <v>2</v>
      </c>
      <c r="D57" s="21" t="n">
        <v>0</v>
      </c>
      <c r="E57" s="21" t="n">
        <v>27</v>
      </c>
      <c r="F57" s="21" t="n">
        <v>22</v>
      </c>
      <c r="G57" s="21" t="n">
        <v>49</v>
      </c>
      <c r="H57" s="21" t="n">
        <v>0</v>
      </c>
      <c r="I57" s="21" t="n">
        <v>0</v>
      </c>
      <c r="J57" s="21"/>
    </row>
    <row r="58" customFormat="false" ht="15" hidden="false" customHeight="true" outlineLevel="0" collapsed="false">
      <c r="A58" s="23" t="n">
        <v>46045</v>
      </c>
      <c r="B58" s="24" t="n">
        <v>217</v>
      </c>
      <c r="C58" s="24" t="n">
        <v>-1</v>
      </c>
      <c r="D58" s="24" t="n">
        <v>0</v>
      </c>
      <c r="E58" s="24" t="n">
        <v>24</v>
      </c>
      <c r="F58" s="24" t="n">
        <v>30</v>
      </c>
      <c r="G58" s="24" t="n">
        <v>54</v>
      </c>
      <c r="H58" s="24" t="n">
        <v>0</v>
      </c>
      <c r="I58" s="24" t="n">
        <v>0</v>
      </c>
      <c r="J58" s="24"/>
    </row>
    <row r="59" customFormat="false" ht="15" hidden="false" customHeight="true" outlineLevel="0" collapsed="false">
      <c r="A59" s="20" t="n">
        <v>46052</v>
      </c>
      <c r="B59" s="21" t="n">
        <v>219</v>
      </c>
      <c r="C59" s="21" t="n">
        <v>2</v>
      </c>
      <c r="D59" s="21" t="n">
        <v>1</v>
      </c>
      <c r="E59" s="21" t="n">
        <v>20</v>
      </c>
      <c r="F59" s="21" t="n">
        <v>45</v>
      </c>
      <c r="G59" s="21" t="n">
        <v>65</v>
      </c>
      <c r="H59" s="21" t="n">
        <v>0</v>
      </c>
      <c r="I59" s="21" t="n">
        <v>0</v>
      </c>
      <c r="J59" s="21"/>
    </row>
    <row r="60" customFormat="false" ht="15" hidden="false" customHeight="true" outlineLevel="0" collapsed="false">
      <c r="A60" s="23" t="n">
        <v>46059</v>
      </c>
      <c r="B60" s="24" t="n">
        <v>219</v>
      </c>
      <c r="C60" s="24" t="n">
        <v>0</v>
      </c>
      <c r="D60" s="24" t="n">
        <v>1</v>
      </c>
      <c r="E60" s="24" t="n">
        <v>18</v>
      </c>
      <c r="F60" s="24" t="n">
        <v>54</v>
      </c>
      <c r="G60" s="24" t="n">
        <v>72</v>
      </c>
      <c r="H60" s="24" t="n">
        <v>0</v>
      </c>
      <c r="I60" s="24" t="n">
        <v>0</v>
      </c>
      <c r="J60" s="24"/>
    </row>
    <row r="61" customFormat="false" ht="15" hidden="false" customHeight="true" outlineLevel="0" collapsed="false">
      <c r="A61" s="20" t="n">
        <v>46066</v>
      </c>
      <c r="B61" s="21" t="n">
        <v>219</v>
      </c>
      <c r="C61" s="21" t="n">
        <v>0</v>
      </c>
      <c r="D61" s="21" t="n">
        <v>0</v>
      </c>
      <c r="E61" s="21" t="n">
        <v>17</v>
      </c>
      <c r="F61" s="21" t="n">
        <v>33</v>
      </c>
      <c r="G61" s="21" t="n">
        <v>50</v>
      </c>
      <c r="H61" s="21" t="n">
        <v>0</v>
      </c>
      <c r="I61" s="21" t="n">
        <v>0</v>
      </c>
      <c r="J61" s="21"/>
    </row>
    <row r="62" customFormat="false" ht="15" hidden="false" customHeight="true" outlineLevel="0" collapsed="false">
      <c r="A62" s="23" t="n">
        <v>46073</v>
      </c>
      <c r="B62" s="24" t="n">
        <v>221</v>
      </c>
      <c r="C62" s="24" t="n">
        <v>2</v>
      </c>
      <c r="D62" s="24" t="n">
        <v>1</v>
      </c>
      <c r="E62" s="24" t="n">
        <v>16</v>
      </c>
      <c r="F62" s="24" t="n">
        <v>44</v>
      </c>
      <c r="G62" s="24" t="n">
        <v>60</v>
      </c>
      <c r="H62" s="24" t="n">
        <v>0</v>
      </c>
      <c r="I62" s="24" t="n">
        <v>0</v>
      </c>
      <c r="J62" s="24"/>
    </row>
    <row r="63" customFormat="false" ht="15" hidden="false" customHeight="true" outlineLevel="0" collapsed="false">
      <c r="A63" s="20" t="n">
        <v>46080</v>
      </c>
      <c r="B63" s="21" t="n">
        <v>221</v>
      </c>
      <c r="C63" s="21" t="n">
        <v>0</v>
      </c>
      <c r="D63" s="21" t="n">
        <v>0</v>
      </c>
      <c r="E63" s="21" t="n">
        <v>15</v>
      </c>
      <c r="F63" s="21" t="n">
        <v>25</v>
      </c>
      <c r="G63" s="21" t="n">
        <v>40</v>
      </c>
      <c r="H63" s="21" t="n">
        <v>0</v>
      </c>
      <c r="I63" s="21" t="n">
        <v>0</v>
      </c>
      <c r="J63" s="21"/>
    </row>
    <row r="64" customFormat="false" ht="15" hidden="false" customHeight="true" outlineLevel="0" collapsed="false">
      <c r="A64" s="23" t="n">
        <v>46087</v>
      </c>
      <c r="B64" s="24" t="n">
        <v>221</v>
      </c>
      <c r="C64" s="24" t="n">
        <v>0</v>
      </c>
      <c r="D64" s="24" t="n">
        <v>1</v>
      </c>
      <c r="E64" s="24" t="n">
        <v>24</v>
      </c>
      <c r="F64" s="24" t="n">
        <v>26</v>
      </c>
      <c r="G64" s="24" t="n">
        <v>50</v>
      </c>
      <c r="H64" s="24" t="n">
        <v>0</v>
      </c>
      <c r="I64" s="24" t="n">
        <v>0</v>
      </c>
      <c r="J64" s="24"/>
    </row>
    <row r="65" customFormat="false" ht="15" hidden="false" customHeight="true" outlineLevel="0" collapsed="false">
      <c r="A65" s="20" t="n">
        <v>46094</v>
      </c>
      <c r="B65" s="21" t="n">
        <v>220</v>
      </c>
      <c r="C65" s="21" t="n">
        <v>-1</v>
      </c>
      <c r="D65" s="21" t="n">
        <v>0</v>
      </c>
      <c r="E65" s="21" t="n">
        <v>27</v>
      </c>
      <c r="F65" s="21" t="n">
        <v>16</v>
      </c>
      <c r="G65" s="21" t="n">
        <v>43</v>
      </c>
      <c r="H65" s="21" t="n">
        <v>0</v>
      </c>
      <c r="I65" s="21" t="n">
        <v>0</v>
      </c>
      <c r="J65" s="21"/>
    </row>
    <row r="66" customFormat="false" ht="15" hidden="false" customHeight="true" outlineLevel="0" collapsed="false">
      <c r="A66" s="23" t="n">
        <v>46101</v>
      </c>
      <c r="B66" s="24" t="n">
        <v>223</v>
      </c>
      <c r="C66" s="24" t="n">
        <v>3</v>
      </c>
      <c r="D66" s="24" t="n">
        <v>0</v>
      </c>
      <c r="E66" s="24" t="n">
        <v>30</v>
      </c>
      <c r="F66" s="24" t="n">
        <v>54</v>
      </c>
      <c r="G66" s="24" t="n">
        <v>84</v>
      </c>
      <c r="H66" s="24" t="n">
        <v>0</v>
      </c>
      <c r="I66" s="24" t="n">
        <v>0</v>
      </c>
      <c r="J66" s="24"/>
    </row>
    <row r="67" customFormat="false" ht="15" hidden="false" customHeight="true" outlineLevel="0" collapsed="false">
      <c r="A67" s="20" t="n">
        <v>46108</v>
      </c>
      <c r="B67" s="21" t="n">
        <v>223</v>
      </c>
      <c r="C67" s="21" t="n">
        <v>0</v>
      </c>
      <c r="D67" s="21" t="n">
        <v>0</v>
      </c>
      <c r="E67" s="21" t="n">
        <v>33</v>
      </c>
      <c r="F67" s="21" t="n">
        <v>17</v>
      </c>
      <c r="G67" s="21" t="n">
        <v>50</v>
      </c>
      <c r="H67" s="21" t="n">
        <v>0</v>
      </c>
      <c r="I67" s="21" t="n">
        <v>0</v>
      </c>
      <c r="J67" s="21"/>
    </row>
    <row r="68" customFormat="false" ht="15" hidden="false" customHeight="true" outlineLevel="0" collapsed="false">
      <c r="A68" s="23" t="n">
        <v>46115</v>
      </c>
      <c r="B68" s="24" t="n">
        <v>224</v>
      </c>
      <c r="C68" s="24" t="n">
        <v>1</v>
      </c>
      <c r="D68" s="24" t="n">
        <v>2</v>
      </c>
      <c r="E68" s="24" t="n">
        <v>44</v>
      </c>
      <c r="F68" s="24" t="n">
        <v>34</v>
      </c>
      <c r="G68" s="24" t="n">
        <v>78</v>
      </c>
      <c r="H68" s="24" t="n">
        <v>0</v>
      </c>
      <c r="I68" s="24" t="n">
        <v>0</v>
      </c>
      <c r="J68" s="24"/>
    </row>
    <row r="69" customFormat="false" ht="15" hidden="false" customHeight="true" outlineLevel="0" collapsed="false">
      <c r="A69" s="20" t="n">
        <v>46122</v>
      </c>
      <c r="B69" s="21" t="n">
        <v>222</v>
      </c>
      <c r="C69" s="21" t="n">
        <v>-2</v>
      </c>
      <c r="D69" s="21" t="n">
        <v>0</v>
      </c>
      <c r="E69" s="21" t="n">
        <v>21</v>
      </c>
      <c r="F69" s="21" t="n">
        <v>22</v>
      </c>
      <c r="G69" s="21" t="n">
        <v>43</v>
      </c>
      <c r="H69" s="21" t="n">
        <v>0</v>
      </c>
      <c r="I69" s="21" t="n">
        <v>0</v>
      </c>
      <c r="J69" s="21"/>
    </row>
    <row r="70" customFormat="false" ht="15" hidden="false" customHeight="true" outlineLevel="0" collapsed="false">
      <c r="A70" s="23" t="n">
        <v>46129</v>
      </c>
      <c r="B70" s="24" t="n">
        <v>224</v>
      </c>
      <c r="C70" s="24" t="n">
        <v>2</v>
      </c>
      <c r="D70" s="24" t="n">
        <v>0</v>
      </c>
      <c r="E70" s="24" t="n">
        <v>28</v>
      </c>
      <c r="F70" s="24" t="n">
        <v>16</v>
      </c>
      <c r="G70" s="24" t="n">
        <v>44</v>
      </c>
      <c r="H70" s="24" t="n">
        <v>0</v>
      </c>
      <c r="I70" s="24" t="n">
        <v>0</v>
      </c>
      <c r="J70" s="24"/>
    </row>
    <row r="71" customFormat="false" ht="15" hidden="false" customHeight="true" outlineLevel="0" collapsed="false">
      <c r="A71" s="20" t="n">
        <v>46136</v>
      </c>
      <c r="B71" s="21" t="n">
        <v>225</v>
      </c>
      <c r="C71" s="21" t="n">
        <v>1</v>
      </c>
      <c r="D71" s="21" t="n">
        <v>0</v>
      </c>
      <c r="E71" s="21" t="n">
        <v>35</v>
      </c>
      <c r="F71" s="21" t="n">
        <v>17</v>
      </c>
      <c r="G71" s="21" t="n">
        <v>52</v>
      </c>
      <c r="H71" s="21" t="n">
        <v>0</v>
      </c>
      <c r="I71" s="21" t="n">
        <v>0</v>
      </c>
      <c r="J71" s="21"/>
    </row>
    <row r="72" customFormat="false" ht="15" hidden="false" customHeight="true" outlineLevel="0" collapsed="false">
      <c r="A72" s="23" t="n">
        <v>46143</v>
      </c>
      <c r="B72" s="24" t="n">
        <v>225</v>
      </c>
      <c r="C72" s="24" t="n">
        <v>0</v>
      </c>
      <c r="D72" s="24" t="n">
        <v>0</v>
      </c>
      <c r="E72" s="24" t="n">
        <v>17</v>
      </c>
      <c r="F72" s="24" t="n">
        <v>27</v>
      </c>
      <c r="G72" s="24" t="n">
        <v>44</v>
      </c>
      <c r="H72" s="24" t="n">
        <v>0</v>
      </c>
      <c r="I72" s="24" t="n">
        <v>0</v>
      </c>
      <c r="J72" s="24"/>
    </row>
    <row r="73" customFormat="false" ht="15" hidden="false" customHeight="true" outlineLevel="0" collapsed="false">
      <c r="A73" s="20" t="n">
        <v>46150</v>
      </c>
      <c r="B73" s="21" t="n">
        <v>227</v>
      </c>
      <c r="C73" s="21" t="n">
        <v>2</v>
      </c>
      <c r="D73" s="21" t="n">
        <v>0</v>
      </c>
      <c r="E73" s="21" t="n">
        <v>25</v>
      </c>
      <c r="F73" s="21" t="n">
        <v>34</v>
      </c>
      <c r="G73" s="21" t="n">
        <v>59</v>
      </c>
      <c r="H73" s="21" t="n">
        <v>0</v>
      </c>
      <c r="I73" s="21" t="n">
        <v>0</v>
      </c>
      <c r="J73" s="21"/>
    </row>
    <row r="74" customFormat="false" ht="15" hidden="false" customHeight="true" outlineLevel="0" collapsed="false">
      <c r="A74" s="23" t="n">
        <v>46157</v>
      </c>
      <c r="B74" s="24" t="n">
        <v>228</v>
      </c>
      <c r="C74" s="24" t="n">
        <v>1</v>
      </c>
      <c r="D74" s="24" t="n">
        <v>0</v>
      </c>
      <c r="E74" s="24" t="n">
        <v>40</v>
      </c>
      <c r="F74" s="24" t="n">
        <v>27</v>
      </c>
      <c r="G74" s="24" t="n">
        <v>67</v>
      </c>
      <c r="H74" s="24" t="n">
        <v>0</v>
      </c>
      <c r="I74" s="24" t="n">
        <v>0</v>
      </c>
      <c r="J74" s="24"/>
    </row>
    <row r="75" customFormat="false" ht="15" hidden="false" customHeight="true" outlineLevel="0" collapsed="false">
      <c r="A75" s="20" t="n">
        <v>46164</v>
      </c>
      <c r="B75" s="21" t="n">
        <v>227</v>
      </c>
      <c r="C75" s="21" t="n">
        <v>-1</v>
      </c>
      <c r="D75" s="21" t="n">
        <v>0</v>
      </c>
      <c r="E75" s="21" t="n">
        <v>38</v>
      </c>
      <c r="F75" s="21" t="n">
        <v>20</v>
      </c>
      <c r="G75" s="21" t="n">
        <v>58</v>
      </c>
      <c r="H75" s="21" t="n">
        <v>0</v>
      </c>
      <c r="I75" s="21" t="n">
        <v>0</v>
      </c>
      <c r="J75" s="21"/>
    </row>
    <row r="76" customFormat="false" ht="15" hidden="false" customHeight="true" outlineLevel="0" collapsed="false">
      <c r="A76" s="23" t="n">
        <v>46171</v>
      </c>
      <c r="B76" s="24" t="n">
        <v>229</v>
      </c>
      <c r="C76" s="24" t="n">
        <v>2</v>
      </c>
      <c r="D76" s="24" t="n">
        <v>0</v>
      </c>
      <c r="E76" s="24" t="n">
        <v>34</v>
      </c>
      <c r="F76" s="24" t="n">
        <v>35</v>
      </c>
      <c r="G76" s="24" t="n">
        <v>69</v>
      </c>
      <c r="H76" s="24" t="n">
        <v>0</v>
      </c>
      <c r="I76" s="24" t="n">
        <v>0</v>
      </c>
      <c r="J76" s="24"/>
    </row>
    <row r="77" customFormat="false" ht="15" hidden="false" customHeight="true" outlineLevel="0" collapsed="false">
      <c r="A77" s="20" t="n">
        <v>46178</v>
      </c>
      <c r="B77" s="21" t="n">
        <v>229</v>
      </c>
      <c r="C77" s="21" t="n">
        <v>0</v>
      </c>
      <c r="D77" s="21" t="n">
        <v>0</v>
      </c>
      <c r="E77" s="21" t="n">
        <v>32</v>
      </c>
      <c r="F77" s="21" t="n">
        <v>43</v>
      </c>
      <c r="G77" s="21" t="n">
        <v>75</v>
      </c>
      <c r="H77" s="21" t="n">
        <v>0</v>
      </c>
      <c r="I77" s="21" t="n">
        <v>0</v>
      </c>
      <c r="J77" s="21"/>
    </row>
    <row r="78" customFormat="false" ht="15" hidden="false" customHeight="true" outlineLevel="0" collapsed="false">
      <c r="A78" s="23" t="n">
        <v>46185</v>
      </c>
      <c r="B78" s="24" t="n">
        <v>230</v>
      </c>
      <c r="C78" s="24" t="n">
        <v>1</v>
      </c>
      <c r="D78" s="24" t="n">
        <v>2</v>
      </c>
      <c r="E78" s="24" t="n">
        <v>35</v>
      </c>
      <c r="F78" s="24" t="n">
        <v>44</v>
      </c>
      <c r="G78" s="24" t="n">
        <v>79</v>
      </c>
      <c r="H78" s="24" t="n">
        <v>0</v>
      </c>
      <c r="I78" s="24" t="n">
        <v>0</v>
      </c>
      <c r="J78" s="24"/>
    </row>
    <row r="79" customFormat="false" ht="15" hidden="false" customHeight="true" outlineLevel="0" collapsed="false">
      <c r="A79" s="20" t="n">
        <v>46192</v>
      </c>
      <c r="B79" s="21" t="n">
        <v>233</v>
      </c>
      <c r="C79" s="21" t="n">
        <v>3</v>
      </c>
      <c r="D79" s="21" t="n">
        <v>0</v>
      </c>
      <c r="E79" s="21" t="n">
        <v>40</v>
      </c>
      <c r="F79" s="21" t="n">
        <v>55</v>
      </c>
      <c r="G79" s="21" t="n">
        <v>95</v>
      </c>
      <c r="H79" s="21" t="n">
        <v>0</v>
      </c>
      <c r="I79" s="21" t="n">
        <v>0</v>
      </c>
      <c r="J79" s="21"/>
    </row>
    <row r="80" customFormat="false" ht="15" hidden="false" customHeight="true" outlineLevel="0" collapsed="false">
      <c r="A80" s="23" t="n">
        <v>46199</v>
      </c>
      <c r="B80" s="50"/>
      <c r="C80" s="50"/>
      <c r="D80" s="50"/>
      <c r="E80" s="50"/>
      <c r="F80" s="50"/>
      <c r="G80" s="50"/>
      <c r="H80" s="50"/>
      <c r="I80" s="50"/>
      <c r="J80" s="50"/>
    </row>
    <row r="81" customFormat="false" ht="15" hidden="false" customHeight="true" outlineLevel="0" collapsed="false">
      <c r="A81" s="20" t="n">
        <v>46206</v>
      </c>
      <c r="B81" s="50"/>
      <c r="C81" s="50"/>
      <c r="D81" s="50"/>
      <c r="E81" s="50"/>
      <c r="F81" s="50"/>
      <c r="G81" s="50"/>
      <c r="H81" s="50"/>
      <c r="I81" s="50"/>
      <c r="J81" s="50"/>
    </row>
    <row r="82" customFormat="false" ht="15" hidden="false" customHeight="true" outlineLevel="0" collapsed="false">
      <c r="A82" s="23" t="n">
        <v>46213</v>
      </c>
      <c r="B82" s="50"/>
      <c r="C82" s="50"/>
      <c r="D82" s="50"/>
      <c r="E82" s="50"/>
      <c r="F82" s="50"/>
      <c r="G82" s="50"/>
      <c r="H82" s="50"/>
      <c r="I82" s="50"/>
      <c r="J82" s="50"/>
    </row>
    <row r="83" customFormat="false" ht="15" hidden="false" customHeight="true" outlineLevel="0" collapsed="false">
      <c r="A83" s="20" t="n">
        <v>46220</v>
      </c>
      <c r="B83" s="50"/>
      <c r="C83" s="50"/>
      <c r="D83" s="50"/>
      <c r="E83" s="50"/>
      <c r="F83" s="50"/>
      <c r="G83" s="50"/>
      <c r="H83" s="50"/>
      <c r="I83" s="50"/>
      <c r="J83" s="50"/>
    </row>
    <row r="84" customFormat="false" ht="15" hidden="false" customHeight="true" outlineLevel="0" collapsed="false">
      <c r="A84" s="23" t="n">
        <v>46227</v>
      </c>
      <c r="B84" s="50"/>
      <c r="C84" s="50"/>
      <c r="D84" s="50"/>
      <c r="E84" s="50"/>
      <c r="F84" s="50"/>
      <c r="G84" s="50"/>
      <c r="H84" s="50"/>
      <c r="I84" s="50"/>
      <c r="J84" s="50"/>
    </row>
    <row r="85" customFormat="false" ht="15" hidden="false" customHeight="true" outlineLevel="0" collapsed="false">
      <c r="A85" s="20" t="n">
        <v>46234</v>
      </c>
      <c r="B85" s="50"/>
      <c r="C85" s="50"/>
      <c r="D85" s="50"/>
      <c r="E85" s="50"/>
      <c r="F85" s="50"/>
      <c r="G85" s="50"/>
      <c r="H85" s="50"/>
      <c r="I85" s="50"/>
      <c r="J85" s="50"/>
    </row>
    <row r="86" customFormat="false" ht="15" hidden="false" customHeight="true" outlineLevel="0" collapsed="false">
      <c r="A86" s="23" t="n">
        <v>46241</v>
      </c>
      <c r="B86" s="50"/>
      <c r="C86" s="50"/>
      <c r="D86" s="50"/>
      <c r="E86" s="50"/>
      <c r="F86" s="50"/>
      <c r="G86" s="50"/>
      <c r="H86" s="50"/>
      <c r="I86" s="50"/>
      <c r="J86" s="50"/>
    </row>
    <row r="87" customFormat="false" ht="15" hidden="false" customHeight="true" outlineLevel="0" collapsed="false">
      <c r="A87" s="20" t="n">
        <v>46248</v>
      </c>
      <c r="B87" s="50"/>
      <c r="C87" s="50"/>
      <c r="D87" s="50"/>
      <c r="E87" s="50"/>
      <c r="F87" s="50"/>
      <c r="G87" s="50"/>
      <c r="H87" s="50"/>
      <c r="I87" s="50"/>
      <c r="J87" s="50"/>
    </row>
    <row r="88" customFormat="false" ht="15" hidden="false" customHeight="true" outlineLevel="0" collapsed="false">
      <c r="A88" s="23" t="n">
        <v>46255</v>
      </c>
      <c r="B88" s="50"/>
      <c r="C88" s="50"/>
      <c r="D88" s="50"/>
      <c r="E88" s="50"/>
      <c r="F88" s="50"/>
      <c r="G88" s="50"/>
      <c r="H88" s="50"/>
      <c r="I88" s="50"/>
      <c r="J88" s="50"/>
    </row>
    <row r="89" customFormat="false" ht="15" hidden="false" customHeight="true" outlineLevel="0" collapsed="false">
      <c r="A89" s="20" t="n">
        <v>46262</v>
      </c>
      <c r="B89" s="50"/>
      <c r="C89" s="50"/>
      <c r="D89" s="50"/>
      <c r="E89" s="50"/>
      <c r="F89" s="50"/>
      <c r="G89" s="50"/>
      <c r="H89" s="50"/>
      <c r="I89" s="50"/>
      <c r="J89" s="50"/>
    </row>
    <row r="90" customFormat="false" ht="15" hidden="false" customHeight="true" outlineLevel="0" collapsed="false">
      <c r="A90" s="23" t="n">
        <v>46269</v>
      </c>
      <c r="B90" s="50"/>
      <c r="C90" s="50"/>
      <c r="D90" s="50"/>
      <c r="E90" s="50"/>
      <c r="F90" s="50"/>
      <c r="G90" s="50"/>
      <c r="H90" s="50"/>
      <c r="I90" s="50"/>
      <c r="J90" s="50"/>
    </row>
    <row r="91" customFormat="false" ht="15" hidden="false" customHeight="true" outlineLevel="0" collapsed="false">
      <c r="A91" s="20" t="n">
        <v>46276</v>
      </c>
      <c r="B91" s="50"/>
      <c r="C91" s="50"/>
      <c r="D91" s="50"/>
      <c r="E91" s="50"/>
      <c r="F91" s="50"/>
      <c r="G91" s="50"/>
      <c r="H91" s="50"/>
      <c r="I91" s="50"/>
      <c r="J91" s="50"/>
    </row>
    <row r="92" customFormat="false" ht="15" hidden="false" customHeight="true" outlineLevel="0" collapsed="false">
      <c r="A92" s="23" t="n">
        <v>46283</v>
      </c>
      <c r="B92" s="50"/>
      <c r="C92" s="50"/>
      <c r="D92" s="50"/>
      <c r="E92" s="50"/>
      <c r="F92" s="50"/>
      <c r="G92" s="50"/>
      <c r="H92" s="50"/>
      <c r="I92" s="50"/>
      <c r="J92" s="50"/>
    </row>
    <row r="93" customFormat="false" ht="15" hidden="false" customHeight="true" outlineLevel="0" collapsed="false">
      <c r="A93" s="20" t="n">
        <v>46290</v>
      </c>
      <c r="B93" s="50"/>
      <c r="C93" s="50"/>
      <c r="D93" s="50"/>
      <c r="E93" s="50"/>
      <c r="F93" s="50"/>
      <c r="G93" s="50"/>
      <c r="H93" s="50"/>
      <c r="I93" s="50"/>
      <c r="J93" s="50"/>
    </row>
    <row r="94" customFormat="false" ht="15" hidden="false" customHeight="true" outlineLevel="0" collapsed="false">
      <c r="A94" s="23" t="n">
        <v>46297</v>
      </c>
      <c r="B94" s="50"/>
      <c r="C94" s="50"/>
      <c r="D94" s="50"/>
      <c r="E94" s="50"/>
      <c r="F94" s="50"/>
      <c r="G94" s="50"/>
      <c r="H94" s="50"/>
      <c r="I94" s="50"/>
      <c r="J94" s="50"/>
    </row>
    <row r="95" customFormat="false" ht="15" hidden="false" customHeight="true" outlineLevel="0" collapsed="false">
      <c r="A95" s="20" t="n">
        <v>46304</v>
      </c>
      <c r="B95" s="50"/>
      <c r="C95" s="50"/>
      <c r="D95" s="50"/>
      <c r="E95" s="50"/>
      <c r="F95" s="50"/>
      <c r="G95" s="50"/>
      <c r="H95" s="50"/>
      <c r="I95" s="50"/>
      <c r="J95" s="50"/>
    </row>
    <row r="96" customFormat="false" ht="15" hidden="false" customHeight="true" outlineLevel="0" collapsed="false">
      <c r="A96" s="23" t="n">
        <v>46311</v>
      </c>
      <c r="B96" s="50"/>
      <c r="C96" s="50"/>
      <c r="D96" s="50"/>
      <c r="E96" s="50"/>
      <c r="F96" s="50"/>
      <c r="G96" s="50"/>
      <c r="H96" s="50"/>
      <c r="I96" s="50"/>
      <c r="J96" s="50"/>
    </row>
    <row r="97" customFormat="false" ht="15" hidden="false" customHeight="true" outlineLevel="0" collapsed="false">
      <c r="A97" s="20" t="n">
        <v>46318</v>
      </c>
      <c r="B97" s="50"/>
      <c r="C97" s="50"/>
      <c r="D97" s="50"/>
      <c r="E97" s="50"/>
      <c r="F97" s="50"/>
      <c r="G97" s="50"/>
      <c r="H97" s="50"/>
      <c r="I97" s="50"/>
      <c r="J97" s="50"/>
    </row>
    <row r="98" customFormat="false" ht="15" hidden="false" customHeight="true" outlineLevel="0" collapsed="false">
      <c r="A98" s="23" t="n">
        <v>46325</v>
      </c>
      <c r="B98" s="50"/>
      <c r="C98" s="50"/>
      <c r="D98" s="50"/>
      <c r="E98" s="50"/>
      <c r="F98" s="50"/>
      <c r="G98" s="50"/>
      <c r="H98" s="50"/>
      <c r="I98" s="50"/>
      <c r="J98" s="50"/>
    </row>
    <row r="99" customFormat="false" ht="15" hidden="false" customHeight="true" outlineLevel="0" collapsed="false">
      <c r="A99" s="20" t="n">
        <v>46332</v>
      </c>
      <c r="B99" s="50"/>
      <c r="C99" s="50"/>
      <c r="D99" s="50"/>
      <c r="E99" s="50"/>
      <c r="F99" s="50"/>
      <c r="G99" s="50"/>
      <c r="H99" s="50"/>
      <c r="I99" s="50"/>
      <c r="J99" s="50"/>
    </row>
    <row r="100" customFormat="false" ht="15" hidden="false" customHeight="true" outlineLevel="0" collapsed="false">
      <c r="A100" s="23" t="n">
        <v>46339</v>
      </c>
      <c r="B100" s="50"/>
      <c r="C100" s="50"/>
      <c r="D100" s="50"/>
      <c r="E100" s="50"/>
      <c r="F100" s="50"/>
      <c r="G100" s="50"/>
      <c r="H100" s="50"/>
      <c r="I100" s="50"/>
      <c r="J100" s="50"/>
    </row>
    <row r="101" customFormat="false" ht="15" hidden="false" customHeight="true" outlineLevel="0" collapsed="false">
      <c r="A101" s="20" t="n">
        <v>46346</v>
      </c>
      <c r="B101" s="50"/>
      <c r="C101" s="50"/>
      <c r="D101" s="50"/>
      <c r="E101" s="50"/>
      <c r="F101" s="50"/>
      <c r="G101" s="50"/>
      <c r="H101" s="50"/>
      <c r="I101" s="50"/>
      <c r="J101" s="50"/>
    </row>
    <row r="102" customFormat="false" ht="15" hidden="false" customHeight="true" outlineLevel="0" collapsed="false">
      <c r="A102" s="23" t="n">
        <v>46353</v>
      </c>
      <c r="B102" s="50"/>
      <c r="C102" s="50"/>
      <c r="D102" s="50"/>
      <c r="E102" s="50"/>
      <c r="F102" s="50"/>
      <c r="G102" s="50"/>
      <c r="H102" s="50"/>
      <c r="I102" s="50"/>
      <c r="J102" s="50"/>
    </row>
    <row r="103" customFormat="false" ht="15" hidden="false" customHeight="true" outlineLevel="0" collapsed="false">
      <c r="A103" s="20" t="n">
        <v>46360</v>
      </c>
      <c r="B103" s="50"/>
      <c r="C103" s="50"/>
      <c r="D103" s="50"/>
      <c r="E103" s="50"/>
      <c r="F103" s="50"/>
      <c r="G103" s="50"/>
      <c r="H103" s="50"/>
      <c r="I103" s="50"/>
      <c r="J103" s="50"/>
    </row>
    <row r="104" customFormat="false" ht="15" hidden="false" customHeight="true" outlineLevel="0" collapsed="false">
      <c r="A104" s="23" t="n">
        <v>46367</v>
      </c>
      <c r="B104" s="50"/>
      <c r="C104" s="50"/>
      <c r="D104" s="50"/>
      <c r="E104" s="50"/>
      <c r="F104" s="50"/>
      <c r="G104" s="50"/>
      <c r="H104" s="50"/>
      <c r="I104" s="50"/>
      <c r="J104" s="50"/>
    </row>
    <row r="105" customFormat="false" ht="15" hidden="false" customHeight="true" outlineLevel="0" collapsed="false">
      <c r="A105" s="20" t="n">
        <v>46374</v>
      </c>
      <c r="B105" s="50"/>
      <c r="C105" s="50"/>
      <c r="D105" s="50"/>
      <c r="E105" s="50"/>
      <c r="F105" s="50"/>
      <c r="G105" s="50"/>
      <c r="H105" s="50"/>
      <c r="I105" s="50"/>
      <c r="J105" s="50"/>
    </row>
    <row r="106" customFormat="false" ht="15" hidden="false" customHeight="true" outlineLevel="0" collapsed="false">
      <c r="A106" s="23" t="n">
        <v>46381</v>
      </c>
      <c r="B106" s="50"/>
      <c r="C106" s="50"/>
      <c r="D106" s="50"/>
      <c r="E106" s="50"/>
      <c r="F106" s="50"/>
      <c r="G106" s="50"/>
      <c r="H106" s="50"/>
      <c r="I106" s="50"/>
      <c r="J106" s="50"/>
    </row>
    <row r="107" customFormat="false" ht="15" hidden="false" customHeight="true" outlineLevel="0" collapsed="false">
      <c r="A107" s="20" t="n">
        <v>46388</v>
      </c>
      <c r="B107" s="50"/>
      <c r="C107" s="50"/>
      <c r="D107" s="50"/>
      <c r="E107" s="50"/>
      <c r="F107" s="50"/>
      <c r="G107" s="50"/>
      <c r="H107" s="50"/>
      <c r="I107" s="50"/>
      <c r="J107" s="50"/>
    </row>
    <row r="108" customFormat="false" ht="15" hidden="false" customHeight="true" outlineLevel="0" collapsed="false">
      <c r="A108" s="23" t="n">
        <v>46395</v>
      </c>
      <c r="B108" s="50"/>
      <c r="C108" s="50"/>
      <c r="D108" s="50"/>
      <c r="E108" s="50"/>
      <c r="F108" s="50"/>
      <c r="G108" s="50"/>
      <c r="H108" s="50"/>
      <c r="I108" s="50"/>
      <c r="J108" s="50"/>
    </row>
    <row r="109" customFormat="false" ht="15" hidden="false" customHeight="true" outlineLevel="0" collapsed="false">
      <c r="A109" s="20" t="n">
        <v>46402</v>
      </c>
      <c r="B109" s="50"/>
      <c r="C109" s="50"/>
      <c r="D109" s="50"/>
      <c r="E109" s="50"/>
      <c r="F109" s="50"/>
      <c r="G109" s="50"/>
      <c r="H109" s="50"/>
      <c r="I109" s="50"/>
      <c r="J109" s="50"/>
    </row>
    <row r="110" customFormat="false" ht="15" hidden="false" customHeight="true" outlineLevel="0" collapsed="false">
      <c r="A110" s="23" t="n">
        <v>46409</v>
      </c>
      <c r="B110" s="50"/>
      <c r="C110" s="50"/>
      <c r="D110" s="50"/>
      <c r="E110" s="50"/>
      <c r="F110" s="50"/>
      <c r="G110" s="50"/>
      <c r="H110" s="50"/>
      <c r="I110" s="50"/>
      <c r="J110" s="50"/>
    </row>
    <row r="111" customFormat="false" ht="15" hidden="false" customHeight="true" outlineLevel="0" collapsed="false">
      <c r="A111" s="20" t="n">
        <v>46416</v>
      </c>
      <c r="B111" s="50"/>
      <c r="C111" s="50"/>
      <c r="D111" s="50"/>
      <c r="E111" s="50"/>
      <c r="F111" s="50"/>
      <c r="G111" s="50"/>
      <c r="H111" s="50"/>
      <c r="I111" s="50"/>
      <c r="J111" s="50"/>
    </row>
    <row r="112" customFormat="false" ht="15" hidden="false" customHeight="true" outlineLevel="0" collapsed="false">
      <c r="A112" s="23" t="n">
        <v>46423</v>
      </c>
      <c r="B112" s="50"/>
      <c r="C112" s="50"/>
      <c r="D112" s="50"/>
      <c r="E112" s="50"/>
      <c r="F112" s="50"/>
      <c r="G112" s="50"/>
      <c r="H112" s="50"/>
      <c r="I112" s="50"/>
      <c r="J112" s="50"/>
    </row>
    <row r="113" customFormat="false" ht="15" hidden="false" customHeight="true" outlineLevel="0" collapsed="false">
      <c r="A113" s="20" t="n">
        <v>46430</v>
      </c>
      <c r="B113" s="50"/>
      <c r="C113" s="50"/>
      <c r="D113" s="50"/>
      <c r="E113" s="50"/>
      <c r="F113" s="50"/>
      <c r="G113" s="50"/>
      <c r="H113" s="50"/>
      <c r="I113" s="50"/>
      <c r="J113" s="50"/>
    </row>
    <row r="114" customFormat="false" ht="15" hidden="false" customHeight="true" outlineLevel="0" collapsed="false">
      <c r="A114" s="23" t="n">
        <v>46437</v>
      </c>
      <c r="B114" s="50"/>
      <c r="C114" s="50"/>
      <c r="D114" s="50"/>
      <c r="E114" s="50"/>
      <c r="F114" s="50"/>
      <c r="G114" s="50"/>
      <c r="H114" s="50"/>
      <c r="I114" s="50"/>
      <c r="J114" s="50"/>
    </row>
    <row r="115" customFormat="false" ht="15" hidden="false" customHeight="true" outlineLevel="0" collapsed="false">
      <c r="A115" s="20" t="n">
        <v>46444</v>
      </c>
      <c r="B115" s="50"/>
      <c r="C115" s="50"/>
      <c r="D115" s="50"/>
      <c r="E115" s="50"/>
      <c r="F115" s="50"/>
      <c r="G115" s="50"/>
      <c r="H115" s="50"/>
      <c r="I115" s="50"/>
      <c r="J115" s="50"/>
    </row>
    <row r="116" customFormat="false" ht="15" hidden="false" customHeight="true" outlineLevel="0" collapsed="false">
      <c r="A116" s="23" t="n">
        <v>46451</v>
      </c>
      <c r="B116" s="50"/>
      <c r="C116" s="50"/>
      <c r="D116" s="50"/>
      <c r="E116" s="50"/>
      <c r="F116" s="50"/>
      <c r="G116" s="50"/>
      <c r="H116" s="50"/>
      <c r="I116" s="50"/>
      <c r="J116" s="50"/>
    </row>
    <row r="117" customFormat="false" ht="15" hidden="false" customHeight="true" outlineLevel="0" collapsed="false">
      <c r="A117" s="20" t="n">
        <v>46458</v>
      </c>
      <c r="B117" s="50"/>
      <c r="C117" s="50"/>
      <c r="D117" s="50"/>
      <c r="E117" s="50"/>
      <c r="F117" s="50"/>
      <c r="G117" s="50"/>
      <c r="H117" s="50"/>
      <c r="I117" s="50"/>
      <c r="J117" s="50"/>
    </row>
    <row r="118" customFormat="false" ht="15" hidden="false" customHeight="true" outlineLevel="0" collapsed="false">
      <c r="A118" s="23" t="n">
        <v>46465</v>
      </c>
      <c r="B118" s="50"/>
      <c r="C118" s="50"/>
      <c r="D118" s="50"/>
      <c r="E118" s="50"/>
      <c r="F118" s="50"/>
      <c r="G118" s="50"/>
      <c r="H118" s="50"/>
      <c r="I118" s="50"/>
      <c r="J118" s="50"/>
    </row>
    <row r="119" customFormat="false" ht="15" hidden="false" customHeight="true" outlineLevel="0" collapsed="false">
      <c r="A119" s="20" t="n">
        <v>46472</v>
      </c>
      <c r="B119" s="50"/>
      <c r="C119" s="50"/>
      <c r="D119" s="50"/>
      <c r="E119" s="50"/>
      <c r="F119" s="50"/>
      <c r="G119" s="50"/>
      <c r="H119" s="50"/>
      <c r="I119" s="50"/>
      <c r="J119" s="50"/>
    </row>
    <row r="120" customFormat="false" ht="15" hidden="false" customHeight="true" outlineLevel="0" collapsed="false">
      <c r="A120" s="23" t="n">
        <v>46479</v>
      </c>
      <c r="B120" s="50"/>
      <c r="C120" s="50"/>
      <c r="D120" s="50"/>
      <c r="E120" s="50"/>
      <c r="F120" s="50"/>
      <c r="G120" s="50"/>
      <c r="H120" s="50"/>
      <c r="I120" s="50"/>
      <c r="J120" s="50"/>
    </row>
    <row r="121" customFormat="false" ht="15" hidden="false" customHeight="true" outlineLevel="0" collapsed="false">
      <c r="A121" s="20" t="n">
        <v>46486</v>
      </c>
      <c r="B121" s="50"/>
      <c r="C121" s="50"/>
      <c r="D121" s="50"/>
      <c r="E121" s="50"/>
      <c r="F121" s="50"/>
      <c r="G121" s="50"/>
      <c r="H121" s="50"/>
      <c r="I121" s="50"/>
      <c r="J121" s="50"/>
    </row>
    <row r="122" customFormat="false" ht="15" hidden="false" customHeight="true" outlineLevel="0" collapsed="false">
      <c r="A122" s="23" t="n">
        <v>46493</v>
      </c>
      <c r="B122" s="50"/>
      <c r="C122" s="50"/>
      <c r="D122" s="50"/>
      <c r="E122" s="50"/>
      <c r="F122" s="50"/>
      <c r="G122" s="50"/>
      <c r="H122" s="50"/>
      <c r="I122" s="50"/>
      <c r="J122" s="50"/>
    </row>
    <row r="123" customFormat="false" ht="15" hidden="false" customHeight="true" outlineLevel="0" collapsed="false">
      <c r="A123" s="20" t="n">
        <v>46500</v>
      </c>
      <c r="B123" s="50"/>
      <c r="C123" s="50"/>
      <c r="D123" s="50"/>
      <c r="E123" s="50"/>
      <c r="F123" s="50"/>
      <c r="G123" s="50"/>
      <c r="H123" s="50"/>
      <c r="I123" s="50"/>
      <c r="J123" s="50"/>
    </row>
    <row r="124" customFormat="false" ht="15" hidden="false" customHeight="true" outlineLevel="0" collapsed="false">
      <c r="A124" s="23" t="n">
        <v>46507</v>
      </c>
      <c r="B124" s="50"/>
      <c r="C124" s="50"/>
      <c r="D124" s="50"/>
      <c r="E124" s="50"/>
      <c r="F124" s="50"/>
      <c r="G124" s="50"/>
      <c r="H124" s="50"/>
      <c r="I124" s="50"/>
      <c r="J124" s="50"/>
    </row>
    <row r="125" customFormat="false" ht="15" hidden="false" customHeight="true" outlineLevel="0" collapsed="false">
      <c r="A125" s="20" t="n">
        <v>46514</v>
      </c>
      <c r="B125" s="50"/>
      <c r="C125" s="50"/>
      <c r="D125" s="50"/>
      <c r="E125" s="50"/>
      <c r="F125" s="50"/>
      <c r="G125" s="50"/>
      <c r="H125" s="50"/>
      <c r="I125" s="50"/>
      <c r="J125" s="50"/>
    </row>
    <row r="126" customFormat="false" ht="15" hidden="false" customHeight="true" outlineLevel="0" collapsed="false">
      <c r="A126" s="23" t="n">
        <v>46521</v>
      </c>
      <c r="B126" s="50"/>
      <c r="C126" s="50"/>
      <c r="D126" s="50"/>
      <c r="E126" s="50"/>
      <c r="F126" s="50"/>
      <c r="G126" s="50"/>
      <c r="H126" s="50"/>
      <c r="I126" s="50"/>
      <c r="J126" s="50"/>
    </row>
    <row r="127" customFormat="false" ht="15" hidden="false" customHeight="true" outlineLevel="0" collapsed="false">
      <c r="A127" s="20" t="n">
        <v>46528</v>
      </c>
      <c r="B127" s="50"/>
      <c r="C127" s="50"/>
      <c r="D127" s="50"/>
      <c r="E127" s="50"/>
      <c r="F127" s="50"/>
      <c r="G127" s="50"/>
      <c r="H127" s="50"/>
      <c r="I127" s="50"/>
      <c r="J127" s="50"/>
    </row>
    <row r="128" customFormat="false" ht="15" hidden="false" customHeight="true" outlineLevel="0" collapsed="false">
      <c r="A128" s="23" t="n">
        <v>46535</v>
      </c>
      <c r="B128" s="50"/>
      <c r="C128" s="50"/>
      <c r="D128" s="50"/>
      <c r="E128" s="50"/>
      <c r="F128" s="50"/>
      <c r="G128" s="50"/>
      <c r="H128" s="50"/>
      <c r="I128" s="50"/>
      <c r="J128" s="50"/>
    </row>
    <row r="129" customFormat="false" ht="15" hidden="false" customHeight="true" outlineLevel="0" collapsed="false">
      <c r="A129" s="20" t="n">
        <v>46542</v>
      </c>
      <c r="B129" s="50"/>
      <c r="C129" s="50"/>
      <c r="D129" s="50"/>
      <c r="E129" s="50"/>
      <c r="F129" s="50"/>
      <c r="G129" s="50"/>
      <c r="H129" s="50"/>
      <c r="I129" s="50"/>
      <c r="J129" s="50"/>
    </row>
    <row r="130" customFormat="false" ht="15" hidden="false" customHeight="true" outlineLevel="0" collapsed="false">
      <c r="A130" s="23" t="n">
        <v>46549</v>
      </c>
      <c r="B130" s="50"/>
      <c r="C130" s="50"/>
      <c r="D130" s="50"/>
      <c r="E130" s="50"/>
      <c r="F130" s="50"/>
      <c r="G130" s="50"/>
      <c r="H130" s="50"/>
      <c r="I130" s="50"/>
      <c r="J130" s="50"/>
    </row>
    <row r="131" customFormat="false" ht="15" hidden="false" customHeight="true" outlineLevel="0" collapsed="false">
      <c r="A131" s="20" t="n">
        <v>46556</v>
      </c>
      <c r="B131" s="50"/>
      <c r="C131" s="50"/>
      <c r="D131" s="50"/>
      <c r="E131" s="50"/>
      <c r="F131" s="50"/>
      <c r="G131" s="50"/>
      <c r="H131" s="50"/>
      <c r="I131" s="50"/>
      <c r="J131" s="50"/>
    </row>
    <row r="132" customFormat="false" ht="15" hidden="false" customHeight="true" outlineLevel="0" collapsed="false">
      <c r="A132" s="23" t="n">
        <v>46563</v>
      </c>
      <c r="B132" s="50"/>
      <c r="C132" s="50"/>
      <c r="D132" s="50"/>
      <c r="E132" s="50"/>
      <c r="F132" s="50"/>
      <c r="G132" s="50"/>
      <c r="H132" s="50"/>
      <c r="I132" s="50"/>
      <c r="J132" s="50"/>
    </row>
    <row r="133" customFormat="false" ht="15" hidden="false" customHeight="true" outlineLevel="0" collapsed="false">
      <c r="A133" s="20" t="n">
        <v>46570</v>
      </c>
      <c r="B133" s="50"/>
      <c r="C133" s="50"/>
      <c r="D133" s="50"/>
      <c r="E133" s="50"/>
      <c r="F133" s="50"/>
      <c r="G133" s="50"/>
      <c r="H133" s="50"/>
      <c r="I133" s="50"/>
      <c r="J133" s="50"/>
    </row>
    <row r="134" customFormat="false" ht="15" hidden="false" customHeight="true" outlineLevel="0" collapsed="false">
      <c r="A134" s="23" t="n">
        <v>46577</v>
      </c>
      <c r="B134" s="50"/>
      <c r="C134" s="50"/>
      <c r="D134" s="50"/>
      <c r="E134" s="50"/>
      <c r="F134" s="50"/>
      <c r="G134" s="50"/>
      <c r="H134" s="50"/>
      <c r="I134" s="50"/>
      <c r="J134" s="50"/>
    </row>
    <row r="135" customFormat="false" ht="15" hidden="false" customHeight="true" outlineLevel="0" collapsed="false">
      <c r="A135" s="20" t="n">
        <v>46584</v>
      </c>
      <c r="B135" s="50"/>
      <c r="C135" s="50"/>
      <c r="D135" s="50"/>
      <c r="E135" s="50"/>
      <c r="F135" s="50"/>
      <c r="G135" s="50"/>
      <c r="H135" s="50"/>
      <c r="I135" s="50"/>
      <c r="J135" s="50"/>
    </row>
    <row r="136" customFormat="false" ht="15" hidden="false" customHeight="true" outlineLevel="0" collapsed="false">
      <c r="A136" s="23" t="n">
        <v>46591</v>
      </c>
      <c r="B136" s="50"/>
      <c r="C136" s="50"/>
      <c r="D136" s="50"/>
      <c r="E136" s="50"/>
      <c r="F136" s="50"/>
      <c r="G136" s="50"/>
      <c r="H136" s="50"/>
      <c r="I136" s="50"/>
      <c r="J136" s="50"/>
    </row>
    <row r="137" customFormat="false" ht="15" hidden="false" customHeight="true" outlineLevel="0" collapsed="false">
      <c r="A137" s="20" t="n">
        <v>46598</v>
      </c>
      <c r="B137" s="50"/>
      <c r="C137" s="50"/>
      <c r="D137" s="50"/>
      <c r="E137" s="50"/>
      <c r="F137" s="50"/>
      <c r="G137" s="50"/>
      <c r="H137" s="50"/>
      <c r="I137" s="50"/>
      <c r="J137" s="50"/>
    </row>
    <row r="138" customFormat="false" ht="15" hidden="false" customHeight="true" outlineLevel="0" collapsed="false">
      <c r="A138" s="23" t="n">
        <v>46605</v>
      </c>
      <c r="B138" s="50"/>
      <c r="C138" s="50"/>
      <c r="D138" s="50"/>
      <c r="E138" s="50"/>
      <c r="F138" s="50"/>
      <c r="G138" s="50"/>
      <c r="H138" s="50"/>
      <c r="I138" s="50"/>
      <c r="J138" s="50"/>
    </row>
    <row r="139" customFormat="false" ht="15" hidden="false" customHeight="true" outlineLevel="0" collapsed="false">
      <c r="A139" s="20" t="n">
        <v>46612</v>
      </c>
      <c r="B139" s="50"/>
      <c r="C139" s="50"/>
      <c r="D139" s="50"/>
      <c r="E139" s="50"/>
      <c r="F139" s="50"/>
      <c r="G139" s="50"/>
      <c r="H139" s="50"/>
      <c r="I139" s="50"/>
      <c r="J139" s="50"/>
    </row>
    <row r="140" customFormat="false" ht="15" hidden="false" customHeight="true" outlineLevel="0" collapsed="false">
      <c r="A140" s="23" t="n">
        <v>46619</v>
      </c>
      <c r="B140" s="50"/>
      <c r="C140" s="50"/>
      <c r="D140" s="50"/>
      <c r="E140" s="50"/>
      <c r="F140" s="50"/>
      <c r="G140" s="50"/>
      <c r="H140" s="50"/>
      <c r="I140" s="50"/>
      <c r="J140" s="50"/>
    </row>
    <row r="141" customFormat="false" ht="15" hidden="false" customHeight="true" outlineLevel="0" collapsed="false">
      <c r="A141" s="20" t="n">
        <v>46626</v>
      </c>
      <c r="B141" s="50"/>
      <c r="C141" s="50"/>
      <c r="D141" s="50"/>
      <c r="E141" s="50"/>
      <c r="F141" s="50"/>
      <c r="G141" s="50"/>
      <c r="H141" s="50"/>
      <c r="I141" s="50"/>
      <c r="J141" s="50"/>
    </row>
    <row r="142" customFormat="false" ht="15" hidden="false" customHeight="true" outlineLevel="0" collapsed="false">
      <c r="A142" s="23" t="n">
        <v>46633</v>
      </c>
      <c r="B142" s="50"/>
      <c r="C142" s="50"/>
      <c r="D142" s="50"/>
      <c r="E142" s="50"/>
      <c r="F142" s="50"/>
      <c r="G142" s="50"/>
      <c r="H142" s="50"/>
      <c r="I142" s="50"/>
      <c r="J142" s="50"/>
    </row>
    <row r="143" customFormat="false" ht="15" hidden="false" customHeight="true" outlineLevel="0" collapsed="false">
      <c r="A143" s="20" t="n">
        <v>46640</v>
      </c>
      <c r="B143" s="50"/>
      <c r="C143" s="50"/>
      <c r="D143" s="50"/>
      <c r="E143" s="50"/>
      <c r="F143" s="50"/>
      <c r="G143" s="50"/>
      <c r="H143" s="50"/>
      <c r="I143" s="50"/>
      <c r="J143" s="50"/>
    </row>
    <row r="144" customFormat="false" ht="15" hidden="false" customHeight="true" outlineLevel="0" collapsed="false">
      <c r="A144" s="23" t="n">
        <v>46647</v>
      </c>
      <c r="B144" s="50"/>
      <c r="C144" s="50"/>
      <c r="D144" s="50"/>
      <c r="E144" s="50"/>
      <c r="F144" s="50"/>
      <c r="G144" s="50"/>
      <c r="H144" s="50"/>
      <c r="I144" s="50"/>
      <c r="J144" s="50"/>
    </row>
    <row r="145" customFormat="false" ht="15" hidden="false" customHeight="true" outlineLevel="0" collapsed="false">
      <c r="A145" s="20" t="n">
        <v>46654</v>
      </c>
      <c r="B145" s="50"/>
      <c r="C145" s="50"/>
      <c r="D145" s="50"/>
      <c r="E145" s="50"/>
      <c r="F145" s="50"/>
      <c r="G145" s="50"/>
      <c r="H145" s="50"/>
      <c r="I145" s="50"/>
      <c r="J145" s="50"/>
    </row>
    <row r="146" customFormat="false" ht="15" hidden="false" customHeight="true" outlineLevel="0" collapsed="false">
      <c r="A146" s="23" t="n">
        <v>46661</v>
      </c>
      <c r="B146" s="50"/>
      <c r="C146" s="50"/>
      <c r="D146" s="50"/>
      <c r="E146" s="50"/>
      <c r="F146" s="50"/>
      <c r="G146" s="50"/>
      <c r="H146" s="50"/>
      <c r="I146" s="50"/>
      <c r="J146" s="50"/>
    </row>
    <row r="147" customFormat="false" ht="15" hidden="false" customHeight="true" outlineLevel="0" collapsed="false">
      <c r="A147" s="20" t="n">
        <v>46668</v>
      </c>
      <c r="B147" s="50"/>
      <c r="C147" s="50"/>
      <c r="D147" s="50"/>
      <c r="E147" s="50"/>
      <c r="F147" s="50"/>
      <c r="G147" s="50"/>
      <c r="H147" s="50"/>
      <c r="I147" s="50"/>
      <c r="J147" s="50"/>
    </row>
    <row r="148" customFormat="false" ht="15" hidden="false" customHeight="true" outlineLevel="0" collapsed="false">
      <c r="A148" s="23" t="n">
        <v>46675</v>
      </c>
      <c r="B148" s="50"/>
      <c r="C148" s="50"/>
      <c r="D148" s="50"/>
      <c r="E148" s="50"/>
      <c r="F148" s="50"/>
      <c r="G148" s="50"/>
      <c r="H148" s="50"/>
      <c r="I148" s="50"/>
      <c r="J148" s="50"/>
    </row>
    <row r="149" customFormat="false" ht="15" hidden="false" customHeight="true" outlineLevel="0" collapsed="false">
      <c r="A149" s="20" t="n">
        <v>46682</v>
      </c>
      <c r="B149" s="50"/>
      <c r="C149" s="50"/>
      <c r="D149" s="50"/>
      <c r="E149" s="50"/>
      <c r="F149" s="50"/>
      <c r="G149" s="50"/>
      <c r="H149" s="50"/>
      <c r="I149" s="50"/>
      <c r="J149" s="50"/>
    </row>
    <row r="150" customFormat="false" ht="15" hidden="false" customHeight="true" outlineLevel="0" collapsed="false">
      <c r="A150" s="23" t="n">
        <v>46689</v>
      </c>
      <c r="B150" s="50"/>
      <c r="C150" s="50"/>
      <c r="D150" s="50"/>
      <c r="E150" s="50"/>
      <c r="F150" s="50"/>
      <c r="G150" s="50"/>
      <c r="H150" s="50"/>
      <c r="I150" s="50"/>
      <c r="J150" s="50"/>
    </row>
    <row r="151" customFormat="false" ht="15" hidden="false" customHeight="true" outlineLevel="0" collapsed="false">
      <c r="A151" s="20" t="n">
        <v>46696</v>
      </c>
      <c r="B151" s="50"/>
      <c r="C151" s="50"/>
      <c r="D151" s="50"/>
      <c r="E151" s="50"/>
      <c r="F151" s="50"/>
      <c r="G151" s="50"/>
      <c r="H151" s="50"/>
      <c r="I151" s="50"/>
      <c r="J151" s="50"/>
    </row>
    <row r="152" customFormat="false" ht="15" hidden="false" customHeight="true" outlineLevel="0" collapsed="false">
      <c r="A152" s="23" t="n">
        <v>46703</v>
      </c>
      <c r="B152" s="50"/>
      <c r="C152" s="50"/>
      <c r="D152" s="50"/>
      <c r="E152" s="50"/>
      <c r="F152" s="50"/>
      <c r="G152" s="50"/>
      <c r="H152" s="50"/>
      <c r="I152" s="50"/>
      <c r="J152" s="50"/>
    </row>
    <row r="153" customFormat="false" ht="15" hidden="false" customHeight="true" outlineLevel="0" collapsed="false">
      <c r="A153" s="20" t="n">
        <v>46710</v>
      </c>
      <c r="B153" s="50"/>
      <c r="C153" s="50"/>
      <c r="D153" s="50"/>
      <c r="E153" s="50"/>
      <c r="F153" s="50"/>
      <c r="G153" s="50"/>
      <c r="H153" s="50"/>
      <c r="I153" s="50"/>
      <c r="J153" s="50"/>
    </row>
    <row r="154" customFormat="false" ht="15" hidden="false" customHeight="true" outlineLevel="0" collapsed="false">
      <c r="A154" s="23" t="n">
        <v>46717</v>
      </c>
      <c r="B154" s="50"/>
      <c r="C154" s="50"/>
      <c r="D154" s="50"/>
      <c r="E154" s="50"/>
      <c r="F154" s="50"/>
      <c r="G154" s="50"/>
      <c r="H154" s="50"/>
      <c r="I154" s="50"/>
      <c r="J154" s="50"/>
    </row>
    <row r="155" customFormat="false" ht="15" hidden="false" customHeight="true" outlineLevel="0" collapsed="false">
      <c r="A155" s="20" t="n">
        <v>46724</v>
      </c>
      <c r="B155" s="50"/>
      <c r="C155" s="50"/>
      <c r="D155" s="50"/>
      <c r="E155" s="50"/>
      <c r="F155" s="50"/>
      <c r="G155" s="50"/>
      <c r="H155" s="50"/>
      <c r="I155" s="50"/>
      <c r="J155" s="50"/>
    </row>
    <row r="156" customFormat="false" ht="15" hidden="false" customHeight="true" outlineLevel="0" collapsed="false">
      <c r="A156" s="23" t="n">
        <v>46731</v>
      </c>
      <c r="B156" s="50"/>
      <c r="C156" s="50"/>
      <c r="D156" s="50"/>
      <c r="E156" s="50"/>
      <c r="F156" s="50"/>
      <c r="G156" s="50"/>
      <c r="H156" s="50"/>
      <c r="I156" s="50"/>
      <c r="J156" s="50"/>
    </row>
    <row r="157" customFormat="false" ht="15" hidden="false" customHeight="true" outlineLevel="0" collapsed="false">
      <c r="A157" s="20" t="n">
        <v>46738</v>
      </c>
      <c r="B157" s="50"/>
      <c r="C157" s="50"/>
      <c r="D157" s="50"/>
      <c r="E157" s="50"/>
      <c r="F157" s="50"/>
      <c r="G157" s="50"/>
      <c r="H157" s="50"/>
      <c r="I157" s="50"/>
      <c r="J157" s="50"/>
    </row>
    <row r="158" customFormat="false" ht="15" hidden="false" customHeight="true" outlineLevel="0" collapsed="false">
      <c r="A158" s="23" t="n">
        <v>46745</v>
      </c>
      <c r="B158" s="50"/>
      <c r="C158" s="50"/>
      <c r="D158" s="50"/>
      <c r="E158" s="50"/>
      <c r="F158" s="50"/>
      <c r="G158" s="50"/>
      <c r="H158" s="50"/>
      <c r="I158" s="50"/>
      <c r="J158" s="50"/>
    </row>
    <row r="159" customFormat="false" ht="15" hidden="false" customHeight="true" outlineLevel="0" collapsed="false">
      <c r="A159" s="20" t="n">
        <v>46752</v>
      </c>
      <c r="B159" s="50"/>
      <c r="C159" s="50"/>
      <c r="D159" s="50"/>
      <c r="E159" s="50"/>
      <c r="F159" s="50"/>
      <c r="G159" s="50"/>
      <c r="H159" s="50"/>
      <c r="I159" s="50"/>
      <c r="J159" s="50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8" min="2" style="1" width="16"/>
  </cols>
  <sheetData>
    <row r="1" customFormat="false" ht="15" hidden="false" customHeight="true" outlineLevel="0" collapsed="false">
      <c r="A1" s="49" t="s">
        <v>113</v>
      </c>
      <c r="B1" s="49"/>
      <c r="C1" s="49"/>
      <c r="D1" s="49"/>
      <c r="E1" s="49"/>
      <c r="F1" s="49"/>
      <c r="G1" s="49"/>
      <c r="H1" s="49"/>
    </row>
    <row r="2" customFormat="false" ht="41.25" hidden="false" customHeight="true" outlineLevel="0" collapsed="false">
      <c r="A2" s="13" t="s">
        <v>98</v>
      </c>
      <c r="B2" s="13" t="s">
        <v>114</v>
      </c>
      <c r="C2" s="13" t="s">
        <v>115</v>
      </c>
      <c r="D2" s="13" t="s">
        <v>116</v>
      </c>
      <c r="E2" s="13" t="s">
        <v>117</v>
      </c>
      <c r="F2" s="13" t="s">
        <v>106</v>
      </c>
      <c r="G2" s="13" t="s">
        <v>108</v>
      </c>
      <c r="H2" s="13" t="s">
        <v>118</v>
      </c>
    </row>
    <row r="3" customFormat="false" ht="15" hidden="false" customHeight="true" outlineLevel="0" collapsed="false">
      <c r="A3" s="20" t="n">
        <v>45660</v>
      </c>
      <c r="B3" s="21" t="n">
        <v>120</v>
      </c>
      <c r="C3" s="21" t="n">
        <v>356</v>
      </c>
      <c r="D3" s="21" t="n">
        <v>0.3370786517</v>
      </c>
      <c r="E3" s="21" t="n">
        <v>2</v>
      </c>
      <c r="F3" s="21" t="n">
        <v>0</v>
      </c>
      <c r="G3" s="21"/>
      <c r="H3" s="21" t="n">
        <v>0</v>
      </c>
    </row>
    <row r="4" customFormat="false" ht="15" hidden="false" customHeight="true" outlineLevel="0" collapsed="false">
      <c r="A4" s="23" t="n">
        <v>45667</v>
      </c>
      <c r="B4" s="24" t="n">
        <v>180</v>
      </c>
      <c r="C4" s="24" t="n">
        <v>434</v>
      </c>
      <c r="D4" s="24" t="n">
        <v>0.4147465438</v>
      </c>
      <c r="E4" s="24" t="n">
        <v>1.5</v>
      </c>
      <c r="F4" s="24" t="n">
        <v>0</v>
      </c>
      <c r="G4" s="24"/>
      <c r="H4" s="24" t="n">
        <v>78</v>
      </c>
    </row>
    <row r="5" customFormat="false" ht="15" hidden="false" customHeight="true" outlineLevel="0" collapsed="false">
      <c r="A5" s="20" t="n">
        <v>45674</v>
      </c>
      <c r="B5" s="21" t="n">
        <v>200</v>
      </c>
      <c r="C5" s="21" t="n">
        <v>524</v>
      </c>
      <c r="D5" s="21" t="n">
        <v>0.3816793893</v>
      </c>
      <c r="E5" s="21" t="n">
        <v>1.2</v>
      </c>
      <c r="F5" s="21" t="n">
        <v>0</v>
      </c>
      <c r="G5" s="21"/>
      <c r="H5" s="21" t="n">
        <v>90</v>
      </c>
    </row>
    <row r="6" customFormat="false" ht="15" hidden="false" customHeight="true" outlineLevel="0" collapsed="false">
      <c r="A6" s="23" t="n">
        <v>45681</v>
      </c>
      <c r="B6" s="24" t="n">
        <v>230</v>
      </c>
      <c r="C6" s="24" t="n">
        <v>682</v>
      </c>
      <c r="D6" s="24" t="n">
        <v>0.3372434018</v>
      </c>
      <c r="E6" s="24" t="n">
        <v>2.1</v>
      </c>
      <c r="F6" s="24" t="n">
        <v>0</v>
      </c>
      <c r="G6" s="24"/>
      <c r="H6" s="24" t="n">
        <v>158</v>
      </c>
    </row>
    <row r="7" customFormat="false" ht="15" hidden="false" customHeight="true" outlineLevel="0" collapsed="false">
      <c r="A7" s="20" t="n">
        <v>45688</v>
      </c>
      <c r="B7" s="21" t="n">
        <v>250</v>
      </c>
      <c r="C7" s="21" t="n">
        <v>752</v>
      </c>
      <c r="D7" s="21" t="n">
        <v>0.3324468085</v>
      </c>
      <c r="E7" s="21" t="n">
        <v>1.6</v>
      </c>
      <c r="F7" s="21" t="n">
        <v>0</v>
      </c>
      <c r="G7" s="21"/>
      <c r="H7" s="21" t="n">
        <v>70</v>
      </c>
    </row>
    <row r="8" customFormat="false" ht="15" hidden="false" customHeight="true" outlineLevel="0" collapsed="false">
      <c r="A8" s="23" t="n">
        <v>45695</v>
      </c>
      <c r="B8" s="24" t="n">
        <v>280</v>
      </c>
      <c r="C8" s="24" t="n">
        <v>872</v>
      </c>
      <c r="D8" s="24" t="n">
        <v>0.3211009174</v>
      </c>
      <c r="E8" s="24" t="n">
        <v>1.2</v>
      </c>
      <c r="F8" s="24" t="n">
        <v>0</v>
      </c>
      <c r="G8" s="24"/>
      <c r="H8" s="24" t="n">
        <v>120</v>
      </c>
    </row>
    <row r="9" customFormat="false" ht="15" hidden="false" customHeight="true" outlineLevel="0" collapsed="false">
      <c r="A9" s="20" t="n">
        <v>45702</v>
      </c>
      <c r="B9" s="21" t="n">
        <v>350</v>
      </c>
      <c r="C9" s="21" t="n">
        <v>953</v>
      </c>
      <c r="D9" s="21" t="n">
        <v>0.3672612802</v>
      </c>
      <c r="E9" s="21" t="n">
        <v>1.32</v>
      </c>
      <c r="F9" s="21" t="n">
        <v>0</v>
      </c>
      <c r="G9" s="21"/>
      <c r="H9" s="21" t="n">
        <v>81</v>
      </c>
    </row>
    <row r="10" customFormat="false" ht="15" hidden="false" customHeight="true" outlineLevel="0" collapsed="false">
      <c r="A10" s="23" t="n">
        <v>45709</v>
      </c>
      <c r="B10" s="24" t="n">
        <v>400</v>
      </c>
      <c r="C10" s="24" t="n">
        <v>1103</v>
      </c>
      <c r="D10" s="24" t="n">
        <v>0.3626473255</v>
      </c>
      <c r="E10" s="24" t="n">
        <v>1.24</v>
      </c>
      <c r="F10" s="24" t="n">
        <v>0</v>
      </c>
      <c r="G10" s="24"/>
      <c r="H10" s="24" t="n">
        <v>150</v>
      </c>
    </row>
    <row r="11" customFormat="false" ht="15" hidden="false" customHeight="true" outlineLevel="0" collapsed="false">
      <c r="A11" s="20" t="n">
        <v>45716</v>
      </c>
      <c r="B11" s="21" t="n">
        <v>450</v>
      </c>
      <c r="C11" s="21" t="n">
        <v>1234</v>
      </c>
      <c r="D11" s="21" t="n">
        <v>0.3646677472</v>
      </c>
      <c r="E11" s="21" t="n">
        <v>1.16</v>
      </c>
      <c r="F11" s="21" t="n">
        <v>0</v>
      </c>
      <c r="G11" s="21"/>
      <c r="H11" s="21" t="n">
        <v>131</v>
      </c>
    </row>
    <row r="12" customFormat="false" ht="15" hidden="false" customHeight="true" outlineLevel="0" collapsed="false">
      <c r="A12" s="23" t="n">
        <v>45723</v>
      </c>
      <c r="B12" s="24" t="n">
        <v>550</v>
      </c>
      <c r="C12" s="24" t="n">
        <v>1572</v>
      </c>
      <c r="D12" s="24" t="n">
        <v>0.3498727735</v>
      </c>
      <c r="E12" s="24" t="n">
        <v>1.08</v>
      </c>
      <c r="F12" s="24" t="n">
        <v>0</v>
      </c>
      <c r="G12" s="24"/>
      <c r="H12" s="24" t="n">
        <v>338</v>
      </c>
    </row>
    <row r="13" customFormat="false" ht="15" hidden="false" customHeight="true" outlineLevel="0" collapsed="false">
      <c r="A13" s="20" t="n">
        <v>45730</v>
      </c>
      <c r="B13" s="21" t="n">
        <v>543</v>
      </c>
      <c r="C13" s="21" t="n">
        <v>1592</v>
      </c>
      <c r="D13" s="21" t="n">
        <v>0.341080402</v>
      </c>
      <c r="E13" s="21" t="n">
        <v>1</v>
      </c>
      <c r="F13" s="21" t="n">
        <v>0</v>
      </c>
      <c r="G13" s="21"/>
      <c r="H13" s="21" t="n">
        <v>20</v>
      </c>
    </row>
    <row r="14" customFormat="false" ht="15" hidden="false" customHeight="true" outlineLevel="0" collapsed="false">
      <c r="A14" s="23" t="n">
        <v>45737</v>
      </c>
      <c r="B14" s="24" t="n">
        <v>630</v>
      </c>
      <c r="C14" s="24" t="n">
        <v>1782</v>
      </c>
      <c r="D14" s="24" t="n">
        <v>0.3535353535</v>
      </c>
      <c r="E14" s="24" t="n">
        <v>1.9</v>
      </c>
      <c r="F14" s="24" t="n">
        <v>0</v>
      </c>
      <c r="G14" s="24"/>
      <c r="H14" s="24" t="n">
        <v>190</v>
      </c>
    </row>
    <row r="15" customFormat="false" ht="15" hidden="false" customHeight="true" outlineLevel="0" collapsed="false">
      <c r="A15" s="20" t="n">
        <v>45744</v>
      </c>
      <c r="B15" s="21" t="n">
        <v>730</v>
      </c>
      <c r="C15" s="21" t="n">
        <v>1985</v>
      </c>
      <c r="D15" s="21" t="n">
        <v>0.3677581864</v>
      </c>
      <c r="E15" s="21" t="n">
        <v>2.2</v>
      </c>
      <c r="F15" s="21" t="n">
        <v>0</v>
      </c>
      <c r="G15" s="21"/>
      <c r="H15" s="21" t="n">
        <v>203</v>
      </c>
    </row>
    <row r="16" customFormat="false" ht="15" hidden="false" customHeight="true" outlineLevel="0" collapsed="false">
      <c r="A16" s="23" t="n">
        <v>45751</v>
      </c>
      <c r="B16" s="24" t="n">
        <v>850</v>
      </c>
      <c r="C16" s="24" t="n">
        <v>2009</v>
      </c>
      <c r="D16" s="24" t="n">
        <v>0.4230960677</v>
      </c>
      <c r="E16" s="24" t="n">
        <v>1.9</v>
      </c>
      <c r="F16" s="24" t="n">
        <v>0</v>
      </c>
      <c r="G16" s="24"/>
      <c r="H16" s="24" t="n">
        <v>24</v>
      </c>
    </row>
    <row r="17" customFormat="false" ht="15" hidden="false" customHeight="true" outlineLevel="0" collapsed="false">
      <c r="A17" s="20" t="n">
        <v>45758</v>
      </c>
      <c r="B17" s="21" t="n">
        <v>953</v>
      </c>
      <c r="C17" s="21" t="n">
        <v>2167</v>
      </c>
      <c r="D17" s="21" t="n">
        <v>0.4397784956</v>
      </c>
      <c r="E17" s="21" t="n">
        <v>1.5</v>
      </c>
      <c r="F17" s="21" t="n">
        <v>0</v>
      </c>
      <c r="G17" s="21"/>
      <c r="H17" s="21" t="n">
        <v>158</v>
      </c>
    </row>
    <row r="18" customFormat="false" ht="15" hidden="false" customHeight="true" outlineLevel="0" collapsed="false">
      <c r="A18" s="23" t="n">
        <v>45765</v>
      </c>
      <c r="B18" s="24" t="n">
        <v>1233</v>
      </c>
      <c r="C18" s="24" t="n">
        <v>2345</v>
      </c>
      <c r="D18" s="24" t="n">
        <v>0.5257995736</v>
      </c>
      <c r="E18" s="24" t="n">
        <v>1.6</v>
      </c>
      <c r="F18" s="24" t="n">
        <v>0</v>
      </c>
      <c r="G18" s="24"/>
      <c r="H18" s="24" t="n">
        <v>178</v>
      </c>
    </row>
    <row r="19" customFormat="false" ht="15" hidden="false" customHeight="true" outlineLevel="0" collapsed="false">
      <c r="A19" s="20" t="n">
        <v>45772</v>
      </c>
      <c r="B19" s="21" t="n">
        <v>1554</v>
      </c>
      <c r="C19" s="21" t="n">
        <v>2562</v>
      </c>
      <c r="D19" s="21" t="n">
        <v>0.606557377</v>
      </c>
      <c r="E19" s="21" t="n">
        <v>1.8</v>
      </c>
      <c r="F19" s="21" t="n">
        <v>0</v>
      </c>
      <c r="G19" s="21"/>
      <c r="H19" s="21" t="n">
        <v>217</v>
      </c>
    </row>
    <row r="20" customFormat="false" ht="15" hidden="false" customHeight="true" outlineLevel="0" collapsed="false">
      <c r="A20" s="23" t="n">
        <v>45779</v>
      </c>
      <c r="B20" s="24" t="n">
        <v>1667</v>
      </c>
      <c r="C20" s="24" t="n">
        <v>2764</v>
      </c>
      <c r="D20" s="24" t="n">
        <v>0.6031114327</v>
      </c>
      <c r="E20" s="24" t="n">
        <v>1.2</v>
      </c>
      <c r="F20" s="24" t="n">
        <v>0</v>
      </c>
      <c r="G20" s="24"/>
      <c r="H20" s="24" t="n">
        <v>202</v>
      </c>
    </row>
    <row r="21" customFormat="false" ht="15" hidden="false" customHeight="true" outlineLevel="0" collapsed="false">
      <c r="A21" s="20" t="n">
        <v>45786</v>
      </c>
      <c r="B21" s="21" t="n">
        <v>1889</v>
      </c>
      <c r="C21" s="21" t="n">
        <v>2982</v>
      </c>
      <c r="D21" s="21" t="n">
        <v>0.6334674715</v>
      </c>
      <c r="E21" s="21" t="n">
        <v>1.3</v>
      </c>
      <c r="F21" s="21" t="n">
        <v>0</v>
      </c>
      <c r="G21" s="21"/>
      <c r="H21" s="21" t="n">
        <v>218</v>
      </c>
    </row>
    <row r="22" customFormat="false" ht="15" hidden="false" customHeight="true" outlineLevel="0" collapsed="false">
      <c r="A22" s="23" t="n">
        <v>45793</v>
      </c>
      <c r="B22" s="24" t="n">
        <v>1997</v>
      </c>
      <c r="C22" s="24" t="n">
        <v>3162</v>
      </c>
      <c r="D22" s="24" t="n">
        <v>0.6315623023</v>
      </c>
      <c r="E22" s="24" t="n">
        <v>1.4</v>
      </c>
      <c r="F22" s="24" t="n">
        <v>0</v>
      </c>
      <c r="G22" s="24"/>
      <c r="H22" s="24" t="n">
        <v>180</v>
      </c>
    </row>
    <row r="23" customFormat="false" ht="15" hidden="false" customHeight="true" outlineLevel="0" collapsed="false">
      <c r="A23" s="20" t="n">
        <v>45800</v>
      </c>
      <c r="B23" s="21" t="n">
        <v>2003</v>
      </c>
      <c r="C23" s="21" t="n">
        <v>3329</v>
      </c>
      <c r="D23" s="21" t="n">
        <v>0.6016821868</v>
      </c>
      <c r="E23" s="21" t="n">
        <v>0.32</v>
      </c>
      <c r="F23" s="21" t="n">
        <v>0</v>
      </c>
      <c r="G23" s="21"/>
      <c r="H23" s="21" t="n">
        <v>167</v>
      </c>
    </row>
    <row r="24" customFormat="false" ht="15" hidden="false" customHeight="true" outlineLevel="0" collapsed="false">
      <c r="A24" s="23" t="n">
        <v>45807</v>
      </c>
      <c r="B24" s="24" t="n">
        <v>2258</v>
      </c>
      <c r="C24" s="24" t="n">
        <v>3578</v>
      </c>
      <c r="D24" s="24" t="n">
        <v>0.631078815</v>
      </c>
      <c r="E24" s="24" t="n">
        <v>0.48</v>
      </c>
      <c r="F24" s="24" t="n">
        <v>0</v>
      </c>
      <c r="G24" s="24"/>
      <c r="H24" s="24" t="n">
        <v>249</v>
      </c>
    </row>
    <row r="25" customFormat="false" ht="15" hidden="false" customHeight="true" outlineLevel="0" collapsed="false">
      <c r="A25" s="20" t="n">
        <v>45814</v>
      </c>
      <c r="B25" s="21" t="n">
        <v>2245</v>
      </c>
      <c r="C25" s="21" t="n">
        <v>3982</v>
      </c>
      <c r="D25" s="21" t="n">
        <v>0.5637870417</v>
      </c>
      <c r="E25" s="21" t="n">
        <v>1.2</v>
      </c>
      <c r="F25" s="21" t="n">
        <v>0</v>
      </c>
      <c r="G25" s="21"/>
      <c r="H25" s="21" t="n">
        <v>404</v>
      </c>
    </row>
    <row r="26" customFormat="false" ht="15" hidden="false" customHeight="true" outlineLevel="0" collapsed="false">
      <c r="A26" s="23" t="n">
        <v>45821</v>
      </c>
      <c r="B26" s="24" t="n">
        <v>2237</v>
      </c>
      <c r="C26" s="24" t="n">
        <v>4212</v>
      </c>
      <c r="D26" s="24" t="n">
        <v>0.5311016144</v>
      </c>
      <c r="E26" s="24" t="n">
        <v>0.98</v>
      </c>
      <c r="F26" s="24" t="n">
        <v>0</v>
      </c>
      <c r="G26" s="24"/>
      <c r="H26" s="24" t="n">
        <v>230</v>
      </c>
    </row>
    <row r="27" customFormat="false" ht="15" hidden="false" customHeight="true" outlineLevel="0" collapsed="false">
      <c r="A27" s="20" t="n">
        <v>45828</v>
      </c>
      <c r="B27" s="21" t="n">
        <v>2337</v>
      </c>
      <c r="C27" s="21" t="n">
        <v>4325</v>
      </c>
      <c r="D27" s="21" t="n">
        <v>0.5403468208</v>
      </c>
      <c r="E27" s="21" t="n">
        <v>0.56</v>
      </c>
      <c r="F27" s="21" t="n">
        <v>0</v>
      </c>
      <c r="G27" s="21"/>
      <c r="H27" s="21" t="n">
        <v>113</v>
      </c>
    </row>
    <row r="28" customFormat="false" ht="15" hidden="false" customHeight="true" outlineLevel="0" collapsed="false">
      <c r="A28" s="23" t="n">
        <v>45835</v>
      </c>
      <c r="B28" s="24" t="n">
        <v>2376</v>
      </c>
      <c r="C28" s="24" t="n">
        <v>4525</v>
      </c>
      <c r="D28" s="24" t="n">
        <v>0.5250828729</v>
      </c>
      <c r="E28" s="24" t="n">
        <v>0.76</v>
      </c>
      <c r="F28" s="24" t="n">
        <v>0</v>
      </c>
      <c r="G28" s="24"/>
      <c r="H28" s="24" t="n">
        <v>200</v>
      </c>
    </row>
    <row r="29" customFormat="false" ht="15" hidden="false" customHeight="true" outlineLevel="0" collapsed="false">
      <c r="A29" s="20" t="n">
        <v>45842</v>
      </c>
      <c r="B29" s="21" t="n">
        <v>2380</v>
      </c>
      <c r="C29" s="21" t="n">
        <v>4623</v>
      </c>
      <c r="D29" s="21" t="n">
        <v>0.5148172183</v>
      </c>
      <c r="E29" s="21" t="n">
        <v>0.65</v>
      </c>
      <c r="F29" s="21" t="n">
        <v>0</v>
      </c>
      <c r="G29" s="21"/>
      <c r="H29" s="21" t="n">
        <v>98</v>
      </c>
    </row>
    <row r="30" customFormat="false" ht="15" hidden="false" customHeight="true" outlineLevel="0" collapsed="false">
      <c r="A30" s="23" t="n">
        <v>45849</v>
      </c>
      <c r="B30" s="24" t="n">
        <v>2390</v>
      </c>
      <c r="C30" s="24" t="n">
        <v>4725</v>
      </c>
      <c r="D30" s="24" t="n">
        <v>0.5058201058</v>
      </c>
      <c r="E30" s="24" t="n">
        <v>0.32</v>
      </c>
      <c r="F30" s="24" t="n">
        <v>0</v>
      </c>
      <c r="G30" s="24"/>
      <c r="H30" s="24" t="n">
        <v>102</v>
      </c>
    </row>
    <row r="31" customFormat="false" ht="15" hidden="false" customHeight="true" outlineLevel="0" collapsed="false">
      <c r="A31" s="20" t="n">
        <v>45856</v>
      </c>
      <c r="B31" s="21" t="n">
        <v>2395</v>
      </c>
      <c r="C31" s="21" t="n">
        <v>4976</v>
      </c>
      <c r="D31" s="21" t="n">
        <v>0.4813102894</v>
      </c>
      <c r="E31" s="21" t="n">
        <v>0.56</v>
      </c>
      <c r="F31" s="21" t="n">
        <v>0</v>
      </c>
      <c r="G31" s="21"/>
      <c r="H31" s="21" t="n">
        <v>251</v>
      </c>
    </row>
    <row r="32" customFormat="false" ht="15" hidden="false" customHeight="true" outlineLevel="0" collapsed="false">
      <c r="A32" s="23" t="n">
        <v>45863</v>
      </c>
      <c r="B32" s="24" t="n">
        <v>2457</v>
      </c>
      <c r="C32" s="24" t="n">
        <v>5054</v>
      </c>
      <c r="D32" s="24" t="n">
        <v>0.4861495845</v>
      </c>
      <c r="E32" s="24" t="n">
        <v>0.87</v>
      </c>
      <c r="F32" s="24" t="n">
        <v>0</v>
      </c>
      <c r="G32" s="24"/>
      <c r="H32" s="24" t="n">
        <v>78</v>
      </c>
    </row>
    <row r="33" customFormat="false" ht="15" hidden="false" customHeight="true" outlineLevel="0" collapsed="false">
      <c r="A33" s="20" t="n">
        <v>45870</v>
      </c>
      <c r="B33" s="21" t="n">
        <v>2464</v>
      </c>
      <c r="C33" s="21" t="n">
        <v>5334</v>
      </c>
      <c r="D33" s="21" t="n">
        <v>0.4619422572</v>
      </c>
      <c r="E33" s="21" t="n">
        <v>0.45</v>
      </c>
      <c r="F33" s="21" t="n">
        <v>0</v>
      </c>
      <c r="G33" s="21"/>
      <c r="H33" s="21" t="n">
        <v>280</v>
      </c>
    </row>
    <row r="34" customFormat="false" ht="15" hidden="false" customHeight="true" outlineLevel="0" collapsed="false">
      <c r="A34" s="23" t="n">
        <v>45877</v>
      </c>
      <c r="B34" s="24" t="n">
        <v>2498</v>
      </c>
      <c r="C34" s="24" t="n">
        <v>5450</v>
      </c>
      <c r="D34" s="24" t="n">
        <v>0.4583486239</v>
      </c>
      <c r="E34" s="24" t="n">
        <v>0.76</v>
      </c>
      <c r="F34" s="24" t="n">
        <v>0</v>
      </c>
      <c r="G34" s="24"/>
      <c r="H34" s="24" t="n">
        <v>116</v>
      </c>
    </row>
    <row r="35" customFormat="false" ht="15" hidden="false" customHeight="true" outlineLevel="0" collapsed="false">
      <c r="A35" s="20" t="n">
        <v>45884</v>
      </c>
      <c r="B35" s="21" t="n">
        <v>2500</v>
      </c>
      <c r="C35" s="21" t="n">
        <v>5530</v>
      </c>
      <c r="D35" s="21" t="n">
        <v>0.452079566</v>
      </c>
      <c r="E35" s="21" t="n">
        <v>0.42</v>
      </c>
      <c r="F35" s="21" t="n">
        <v>0</v>
      </c>
      <c r="G35" s="21"/>
      <c r="H35" s="21" t="n">
        <v>80</v>
      </c>
    </row>
    <row r="36" customFormat="false" ht="15" hidden="false" customHeight="true" outlineLevel="0" collapsed="false">
      <c r="A36" s="23" t="n">
        <v>45891</v>
      </c>
      <c r="B36" s="24" t="n">
        <v>2530</v>
      </c>
      <c r="C36" s="24" t="n">
        <v>5574</v>
      </c>
      <c r="D36" s="24" t="n">
        <v>0.453893075</v>
      </c>
      <c r="E36" s="24" t="n">
        <v>0.59</v>
      </c>
      <c r="F36" s="24" t="n">
        <v>0</v>
      </c>
      <c r="G36" s="24"/>
      <c r="H36" s="24" t="n">
        <v>44</v>
      </c>
    </row>
    <row r="37" customFormat="false" ht="15" hidden="false" customHeight="true" outlineLevel="0" collapsed="false">
      <c r="A37" s="20" t="n">
        <v>45898</v>
      </c>
      <c r="B37" s="21" t="n">
        <v>2535</v>
      </c>
      <c r="C37" s="21" t="n">
        <v>5584</v>
      </c>
      <c r="D37" s="21" t="n">
        <v>0.4539756447</v>
      </c>
      <c r="E37" s="21" t="n">
        <v>0.4539756447</v>
      </c>
      <c r="F37" s="21" t="n">
        <v>0</v>
      </c>
      <c r="G37" s="21"/>
      <c r="H37" s="21" t="n">
        <v>10</v>
      </c>
    </row>
    <row r="38" customFormat="false" ht="15" hidden="false" customHeight="true" outlineLevel="0" collapsed="false">
      <c r="A38" s="23" t="n">
        <v>45905</v>
      </c>
      <c r="B38" s="24" t="n">
        <v>2543</v>
      </c>
      <c r="C38" s="24" t="n">
        <v>5587</v>
      </c>
      <c r="D38" s="24" t="n">
        <v>0.455163773</v>
      </c>
      <c r="E38" s="24" t="n">
        <v>0.455163773</v>
      </c>
      <c r="F38" s="24" t="n">
        <v>0</v>
      </c>
      <c r="G38" s="24"/>
      <c r="H38" s="24" t="n">
        <v>3</v>
      </c>
    </row>
    <row r="39" customFormat="false" ht="15" hidden="false" customHeight="true" outlineLevel="0" collapsed="false">
      <c r="A39" s="20" t="n">
        <v>45912</v>
      </c>
      <c r="B39" s="21" t="n">
        <v>2545</v>
      </c>
      <c r="C39" s="21" t="n">
        <v>5590</v>
      </c>
      <c r="D39" s="21" t="n">
        <v>0.4552772809</v>
      </c>
      <c r="E39" s="21" t="n">
        <v>0.4552772809</v>
      </c>
      <c r="F39" s="21" t="n">
        <v>0</v>
      </c>
      <c r="G39" s="21"/>
      <c r="H39" s="21" t="n">
        <v>3</v>
      </c>
    </row>
    <row r="40" customFormat="false" ht="15" hidden="false" customHeight="true" outlineLevel="0" collapsed="false">
      <c r="A40" s="23" t="n">
        <v>45919</v>
      </c>
      <c r="B40" s="24" t="n">
        <v>2562</v>
      </c>
      <c r="C40" s="24" t="n">
        <v>5625</v>
      </c>
      <c r="D40" s="24" t="n">
        <v>0.4554666667</v>
      </c>
      <c r="E40" s="24" t="n">
        <v>0.4554666667</v>
      </c>
      <c r="F40" s="24" t="n">
        <v>0</v>
      </c>
      <c r="G40" s="24"/>
      <c r="H40" s="24" t="n">
        <v>35</v>
      </c>
    </row>
    <row r="41" customFormat="false" ht="15" hidden="false" customHeight="true" outlineLevel="0" collapsed="false">
      <c r="A41" s="20" t="n">
        <v>45926</v>
      </c>
      <c r="B41" s="21" t="n">
        <v>2594</v>
      </c>
      <c r="C41" s="21" t="n">
        <v>5696</v>
      </c>
      <c r="D41" s="21" t="n">
        <v>0.4554073034</v>
      </c>
      <c r="E41" s="21" t="n">
        <v>0.4554073034</v>
      </c>
      <c r="F41" s="21" t="n">
        <v>0</v>
      </c>
      <c r="G41" s="21"/>
      <c r="H41" s="21" t="n">
        <v>71</v>
      </c>
    </row>
    <row r="42" customFormat="false" ht="15" hidden="false" customHeight="true" outlineLevel="0" collapsed="false">
      <c r="A42" s="23" t="n">
        <v>45933</v>
      </c>
      <c r="B42" s="24" t="n">
        <v>2597</v>
      </c>
      <c r="C42" s="24" t="n">
        <v>5711</v>
      </c>
      <c r="D42" s="24" t="n">
        <v>0.4547364735</v>
      </c>
      <c r="E42" s="24" t="n">
        <v>0.4547364735</v>
      </c>
      <c r="F42" s="24" t="n">
        <v>0</v>
      </c>
      <c r="G42" s="24"/>
      <c r="H42" s="24" t="n">
        <v>15</v>
      </c>
    </row>
    <row r="43" customFormat="false" ht="15" hidden="false" customHeight="true" outlineLevel="0" collapsed="false">
      <c r="A43" s="20" t="n">
        <v>45940</v>
      </c>
      <c r="B43" s="21" t="n">
        <v>2611</v>
      </c>
      <c r="C43" s="21" t="n">
        <v>5720</v>
      </c>
      <c r="D43" s="21" t="n">
        <v>0.4564685315</v>
      </c>
      <c r="E43" s="21" t="n">
        <v>0.4564685315</v>
      </c>
      <c r="F43" s="21" t="n">
        <v>0</v>
      </c>
      <c r="G43" s="21"/>
      <c r="H43" s="21" t="n">
        <v>9</v>
      </c>
    </row>
    <row r="44" customFormat="false" ht="15" hidden="false" customHeight="true" outlineLevel="0" collapsed="false">
      <c r="A44" s="23" t="n">
        <v>45947</v>
      </c>
      <c r="B44" s="24" t="n">
        <v>2620</v>
      </c>
      <c r="C44" s="24" t="n">
        <v>5725</v>
      </c>
      <c r="D44" s="24" t="n">
        <v>0.4576419214</v>
      </c>
      <c r="E44" s="24" t="n">
        <v>0.4576419214</v>
      </c>
      <c r="F44" s="24" t="n">
        <v>0</v>
      </c>
      <c r="G44" s="24"/>
      <c r="H44" s="24" t="n">
        <v>5</v>
      </c>
    </row>
    <row r="45" customFormat="false" ht="15" hidden="false" customHeight="true" outlineLevel="0" collapsed="false">
      <c r="A45" s="20" t="n">
        <v>45954</v>
      </c>
      <c r="B45" s="21" t="n">
        <v>2625</v>
      </c>
      <c r="C45" s="21" t="n">
        <v>5729</v>
      </c>
      <c r="D45" s="21" t="n">
        <v>0.4581951475</v>
      </c>
      <c r="E45" s="21" t="n">
        <v>0.4581951475</v>
      </c>
      <c r="F45" s="21" t="n">
        <v>0</v>
      </c>
      <c r="G45" s="21"/>
      <c r="H45" s="21" t="n">
        <v>4</v>
      </c>
    </row>
    <row r="46" customFormat="false" ht="15" hidden="false" customHeight="true" outlineLevel="0" collapsed="false">
      <c r="A46" s="23" t="n">
        <v>45961</v>
      </c>
      <c r="B46" s="24" t="n">
        <v>2627</v>
      </c>
      <c r="C46" s="24" t="n">
        <v>5732</v>
      </c>
      <c r="D46" s="24" t="n">
        <v>0.4583042568</v>
      </c>
      <c r="E46" s="24" t="n">
        <v>0.4583042568</v>
      </c>
      <c r="F46" s="24" t="n">
        <v>0</v>
      </c>
      <c r="G46" s="24"/>
      <c r="H46" s="24" t="n">
        <v>3</v>
      </c>
    </row>
    <row r="47" customFormat="false" ht="15" hidden="false" customHeight="true" outlineLevel="0" collapsed="false">
      <c r="A47" s="20" t="n">
        <v>45968</v>
      </c>
      <c r="B47" s="21" t="n">
        <v>2629</v>
      </c>
      <c r="C47" s="21" t="n">
        <v>5734</v>
      </c>
      <c r="D47" s="21" t="n">
        <v>0.4584931985</v>
      </c>
      <c r="E47" s="21" t="n">
        <v>0.4584931985</v>
      </c>
      <c r="F47" s="21" t="n">
        <v>0</v>
      </c>
      <c r="G47" s="21"/>
      <c r="H47" s="21" t="n">
        <v>2</v>
      </c>
    </row>
    <row r="48" customFormat="false" ht="15" hidden="false" customHeight="true" outlineLevel="0" collapsed="false">
      <c r="A48" s="23" t="n">
        <v>45975</v>
      </c>
      <c r="B48" s="24" t="n">
        <v>2551</v>
      </c>
      <c r="C48" s="24" t="n">
        <v>5744</v>
      </c>
      <c r="D48" s="24" t="n">
        <v>0.4441155989</v>
      </c>
      <c r="E48" s="24" t="n">
        <v>0.4441155989</v>
      </c>
      <c r="F48" s="24" t="n">
        <v>0</v>
      </c>
      <c r="G48" s="24"/>
      <c r="H48" s="24" t="n">
        <v>10</v>
      </c>
    </row>
    <row r="49" customFormat="false" ht="15" hidden="false" customHeight="true" outlineLevel="0" collapsed="false">
      <c r="A49" s="20" t="n">
        <v>45982</v>
      </c>
      <c r="B49" s="21" t="n">
        <v>2556</v>
      </c>
      <c r="C49" s="21" t="n">
        <v>5793</v>
      </c>
      <c r="D49" s="21" t="n">
        <v>0.4412221647</v>
      </c>
      <c r="E49" s="21" t="n">
        <v>0.4412221647</v>
      </c>
      <c r="F49" s="21" t="n">
        <v>0</v>
      </c>
      <c r="G49" s="21"/>
      <c r="H49" s="21" t="n">
        <v>49</v>
      </c>
    </row>
    <row r="50" customFormat="false" ht="15" hidden="false" customHeight="true" outlineLevel="0" collapsed="false">
      <c r="A50" s="23" t="n">
        <v>45989</v>
      </c>
      <c r="B50" s="24" t="n">
        <v>2561</v>
      </c>
      <c r="C50" s="24" t="n">
        <v>5796</v>
      </c>
      <c r="D50" s="24" t="n">
        <v>0.4418564527</v>
      </c>
      <c r="E50" s="24" t="n">
        <v>0.4418564527</v>
      </c>
      <c r="F50" s="24" t="n">
        <v>0</v>
      </c>
      <c r="G50" s="24"/>
      <c r="H50" s="24" t="n">
        <v>3</v>
      </c>
    </row>
    <row r="51" customFormat="false" ht="15" hidden="false" customHeight="true" outlineLevel="0" collapsed="false">
      <c r="A51" s="20" t="n">
        <v>45996</v>
      </c>
      <c r="B51" s="21" t="n">
        <v>2586</v>
      </c>
      <c r="C51" s="21" t="n">
        <v>5866</v>
      </c>
      <c r="D51" s="21" t="n">
        <v>0.4408455506</v>
      </c>
      <c r="E51" s="21" t="n">
        <v>0.4408455506</v>
      </c>
      <c r="F51" s="21" t="n">
        <v>0</v>
      </c>
      <c r="G51" s="21"/>
      <c r="H51" s="21" t="n">
        <v>70</v>
      </c>
    </row>
    <row r="52" customFormat="false" ht="15" hidden="false" customHeight="true" outlineLevel="0" collapsed="false">
      <c r="A52" s="23" t="n">
        <v>46003</v>
      </c>
      <c r="B52" s="24" t="n">
        <v>2612</v>
      </c>
      <c r="C52" s="24" t="n">
        <v>5936</v>
      </c>
      <c r="D52" s="24" t="n">
        <v>0.4400269542</v>
      </c>
      <c r="E52" s="24" t="n">
        <v>0.4400269542</v>
      </c>
      <c r="F52" s="24" t="n">
        <v>0</v>
      </c>
      <c r="G52" s="24"/>
      <c r="H52" s="24" t="n">
        <v>70</v>
      </c>
    </row>
    <row r="53" customFormat="false" ht="15" hidden="false" customHeight="true" outlineLevel="0" collapsed="false">
      <c r="A53" s="20" t="n">
        <v>46010</v>
      </c>
      <c r="B53" s="21" t="n">
        <v>2637</v>
      </c>
      <c r="C53" s="21" t="n">
        <v>6006</v>
      </c>
      <c r="D53" s="21" t="n">
        <v>0.4390609391</v>
      </c>
      <c r="E53" s="21" t="n">
        <v>0.4390609391</v>
      </c>
      <c r="F53" s="21" t="n">
        <v>0</v>
      </c>
      <c r="G53" s="21"/>
      <c r="H53" s="21" t="n">
        <v>72</v>
      </c>
    </row>
    <row r="54" customFormat="false" ht="15" hidden="false" customHeight="true" outlineLevel="0" collapsed="false">
      <c r="A54" s="23" t="n">
        <v>46017</v>
      </c>
      <c r="B54" s="24" t="n">
        <v>2663</v>
      </c>
      <c r="C54" s="24" t="n">
        <v>6076</v>
      </c>
      <c r="D54" s="24" t="n">
        <v>0.4382817643</v>
      </c>
      <c r="E54" s="24" t="n">
        <v>0.4382817643</v>
      </c>
      <c r="F54" s="24" t="n">
        <v>0</v>
      </c>
      <c r="G54" s="24"/>
      <c r="H54" s="24" t="n">
        <v>74</v>
      </c>
    </row>
    <row r="55" customFormat="false" ht="15" hidden="false" customHeight="true" outlineLevel="0" collapsed="false">
      <c r="A55" s="20" t="n">
        <v>46024</v>
      </c>
      <c r="B55" s="21" t="n">
        <v>2586</v>
      </c>
      <c r="C55" s="21" t="n">
        <v>6146</v>
      </c>
      <c r="D55" s="21" t="n">
        <v>0.4207614709</v>
      </c>
      <c r="E55" s="21" t="n">
        <v>0.4207614709</v>
      </c>
      <c r="F55" s="21" t="n">
        <v>0</v>
      </c>
      <c r="G55" s="21"/>
      <c r="H55" s="21" t="n">
        <v>71</v>
      </c>
    </row>
    <row r="56" customFormat="false" ht="15" hidden="false" customHeight="true" outlineLevel="0" collapsed="false">
      <c r="A56" s="23" t="n">
        <v>46031</v>
      </c>
      <c r="B56" s="24" t="n">
        <v>2612</v>
      </c>
      <c r="C56" s="24" t="n">
        <v>6216</v>
      </c>
      <c r="D56" s="24" t="n">
        <v>0.4202059202</v>
      </c>
      <c r="E56" s="24" t="n">
        <v>0.4202059202</v>
      </c>
      <c r="F56" s="24" t="n">
        <v>0</v>
      </c>
      <c r="G56" s="24"/>
      <c r="H56" s="24" t="n">
        <v>72</v>
      </c>
    </row>
    <row r="57" customFormat="false" ht="15" hidden="false" customHeight="true" outlineLevel="0" collapsed="false">
      <c r="A57" s="20" t="n">
        <v>46038</v>
      </c>
      <c r="B57" s="21" t="n">
        <v>2638</v>
      </c>
      <c r="C57" s="21" t="n">
        <v>6286</v>
      </c>
      <c r="D57" s="21" t="n">
        <v>0.4196627426</v>
      </c>
      <c r="E57" s="21" t="n">
        <v>0.4196627426</v>
      </c>
      <c r="F57" s="21" t="n">
        <v>0</v>
      </c>
      <c r="G57" s="21"/>
      <c r="H57" s="21" t="n">
        <v>70</v>
      </c>
    </row>
    <row r="58" customFormat="false" ht="15" hidden="false" customHeight="true" outlineLevel="0" collapsed="false">
      <c r="A58" s="23" t="n">
        <v>46045</v>
      </c>
      <c r="B58" s="24" t="n">
        <v>2664</v>
      </c>
      <c r="C58" s="24" t="n">
        <v>6356</v>
      </c>
      <c r="D58" s="24" t="n">
        <v>0.4191315293</v>
      </c>
      <c r="E58" s="24" t="n">
        <v>0.4191315293</v>
      </c>
      <c r="F58" s="24" t="n">
        <v>0</v>
      </c>
      <c r="G58" s="24"/>
      <c r="H58" s="24" t="n">
        <v>73</v>
      </c>
    </row>
    <row r="59" customFormat="false" ht="15" hidden="false" customHeight="true" outlineLevel="0" collapsed="false">
      <c r="A59" s="20" t="n">
        <v>46052</v>
      </c>
      <c r="B59" s="21" t="n">
        <v>2690</v>
      </c>
      <c r="C59" s="21" t="n">
        <v>6426</v>
      </c>
      <c r="D59" s="21" t="n">
        <v>0.4186118892</v>
      </c>
      <c r="E59" s="21" t="n">
        <v>0.4186118892</v>
      </c>
      <c r="F59" s="21" t="n">
        <v>0</v>
      </c>
      <c r="G59" s="21"/>
      <c r="H59" s="21" t="n">
        <v>69</v>
      </c>
    </row>
    <row r="60" customFormat="false" ht="15" hidden="false" customHeight="true" outlineLevel="0" collapsed="false">
      <c r="A60" s="23" t="n">
        <v>46059</v>
      </c>
      <c r="B60" s="24" t="n">
        <v>2716</v>
      </c>
      <c r="C60" s="24" t="n">
        <v>6496</v>
      </c>
      <c r="D60" s="24" t="n">
        <v>0.4181034483</v>
      </c>
      <c r="E60" s="24" t="n">
        <v>0.4181034483</v>
      </c>
      <c r="F60" s="24" t="n">
        <v>0</v>
      </c>
      <c r="G60" s="24"/>
      <c r="H60" s="24" t="n">
        <v>68</v>
      </c>
    </row>
    <row r="61" customFormat="false" ht="15" hidden="false" customHeight="true" outlineLevel="0" collapsed="false">
      <c r="A61" s="20" t="n">
        <v>46066</v>
      </c>
      <c r="B61" s="21" t="n">
        <v>2742</v>
      </c>
      <c r="C61" s="21" t="n">
        <v>6566</v>
      </c>
      <c r="D61" s="21" t="n">
        <v>0.4176058483</v>
      </c>
      <c r="E61" s="21" t="n">
        <v>0.4176058483</v>
      </c>
      <c r="F61" s="21" t="n">
        <v>0</v>
      </c>
      <c r="G61" s="21"/>
      <c r="H61" s="21" t="n">
        <v>69</v>
      </c>
    </row>
    <row r="62" customFormat="false" ht="15" hidden="false" customHeight="true" outlineLevel="0" collapsed="false">
      <c r="A62" s="23" t="n">
        <v>46073</v>
      </c>
      <c r="B62" s="24" t="n">
        <v>2768</v>
      </c>
      <c r="C62" s="24" t="n">
        <v>6636</v>
      </c>
      <c r="D62" s="24" t="n">
        <v>0.4171187462</v>
      </c>
      <c r="E62" s="24" t="n">
        <v>0.4171187462</v>
      </c>
      <c r="F62" s="24" t="n">
        <v>0</v>
      </c>
      <c r="G62" s="24"/>
      <c r="H62" s="24" t="n">
        <v>67</v>
      </c>
    </row>
    <row r="63" customFormat="false" ht="15" hidden="false" customHeight="true" outlineLevel="0" collapsed="false">
      <c r="A63" s="20" t="n">
        <v>46080</v>
      </c>
      <c r="B63" s="21" t="n">
        <v>2794</v>
      </c>
      <c r="C63" s="21" t="n">
        <v>6706</v>
      </c>
      <c r="D63" s="21" t="n">
        <v>0.4166418133</v>
      </c>
      <c r="E63" s="21" t="n">
        <v>0.4166418133</v>
      </c>
      <c r="F63" s="21" t="n">
        <v>0</v>
      </c>
      <c r="G63" s="21"/>
      <c r="H63" s="21" t="n">
        <v>71</v>
      </c>
    </row>
    <row r="64" customFormat="false" ht="15" hidden="false" customHeight="true" outlineLevel="0" collapsed="false">
      <c r="A64" s="23" t="n">
        <v>46087</v>
      </c>
      <c r="B64" s="24" t="n">
        <v>2820</v>
      </c>
      <c r="C64" s="24" t="n">
        <v>6776</v>
      </c>
      <c r="D64" s="24" t="n">
        <v>0.4161747344</v>
      </c>
      <c r="E64" s="24" t="n">
        <v>0.4161747344</v>
      </c>
      <c r="F64" s="24" t="n">
        <v>0</v>
      </c>
      <c r="G64" s="24"/>
      <c r="H64" s="24" t="n">
        <v>69</v>
      </c>
    </row>
    <row r="65" customFormat="false" ht="15" hidden="false" customHeight="true" outlineLevel="0" collapsed="false">
      <c r="A65" s="20" t="n">
        <v>46094</v>
      </c>
      <c r="B65" s="21" t="n">
        <v>2846</v>
      </c>
      <c r="C65" s="21" t="n">
        <v>6846</v>
      </c>
      <c r="D65" s="21" t="n">
        <v>0.4157172071</v>
      </c>
      <c r="E65" s="21" t="n">
        <v>0.4157172071</v>
      </c>
      <c r="F65" s="21" t="n">
        <v>0</v>
      </c>
      <c r="G65" s="21"/>
      <c r="H65" s="21" t="n">
        <v>65</v>
      </c>
    </row>
    <row r="66" customFormat="false" ht="15" hidden="false" customHeight="true" outlineLevel="0" collapsed="false">
      <c r="A66" s="23" t="n">
        <v>46101</v>
      </c>
      <c r="B66" s="24" t="n">
        <v>2872</v>
      </c>
      <c r="C66" s="24" t="n">
        <v>6916</v>
      </c>
      <c r="D66" s="24" t="n">
        <v>0.4152689416</v>
      </c>
      <c r="E66" s="24" t="n">
        <v>0.4152689416</v>
      </c>
      <c r="F66" s="24" t="n">
        <v>0</v>
      </c>
      <c r="G66" s="24"/>
      <c r="H66" s="24" t="n">
        <v>75</v>
      </c>
    </row>
    <row r="67" customFormat="false" ht="15" hidden="false" customHeight="true" outlineLevel="0" collapsed="false">
      <c r="A67" s="20" t="n">
        <v>46108</v>
      </c>
      <c r="B67" s="21" t="n">
        <v>2898</v>
      </c>
      <c r="C67" s="21" t="n">
        <v>6986</v>
      </c>
      <c r="D67" s="21" t="n">
        <v>0.4148296593</v>
      </c>
      <c r="E67" s="21" t="n">
        <v>0.4148296593</v>
      </c>
      <c r="F67" s="21" t="n">
        <v>0</v>
      </c>
      <c r="G67" s="21"/>
      <c r="H67" s="21" t="n">
        <v>72</v>
      </c>
    </row>
    <row r="68" customFormat="false" ht="15" hidden="false" customHeight="true" outlineLevel="0" collapsed="false">
      <c r="A68" s="23" t="n">
        <v>46115</v>
      </c>
      <c r="B68" s="24" t="n">
        <v>2924</v>
      </c>
      <c r="C68" s="24" t="n">
        <v>7056</v>
      </c>
      <c r="D68" s="24" t="n">
        <v>0.414399093</v>
      </c>
      <c r="E68" s="24" t="n">
        <v>0.414399093</v>
      </c>
      <c r="F68" s="24" t="n">
        <v>0</v>
      </c>
      <c r="G68" s="24"/>
      <c r="H68" s="24" t="n">
        <v>68</v>
      </c>
    </row>
    <row r="69" customFormat="false" ht="15" hidden="false" customHeight="true" outlineLevel="0" collapsed="false">
      <c r="A69" s="20" t="n">
        <v>46122</v>
      </c>
      <c r="B69" s="21" t="n">
        <v>2950</v>
      </c>
      <c r="C69" s="21" t="n">
        <v>7126</v>
      </c>
      <c r="D69" s="21" t="n">
        <v>0.4139769857</v>
      </c>
      <c r="E69" s="21" t="n">
        <v>0.4139769857</v>
      </c>
      <c r="F69" s="21" t="n">
        <v>0</v>
      </c>
      <c r="G69" s="21"/>
      <c r="H69" s="21" t="n">
        <v>72</v>
      </c>
    </row>
    <row r="70" customFormat="false" ht="15" hidden="false" customHeight="true" outlineLevel="0" collapsed="false">
      <c r="A70" s="23" t="n">
        <v>46129</v>
      </c>
      <c r="B70" s="24" t="n">
        <v>2976</v>
      </c>
      <c r="C70" s="24" t="n">
        <v>7196</v>
      </c>
      <c r="D70" s="24" t="n">
        <v>0.4135630906</v>
      </c>
      <c r="E70" s="24" t="n">
        <v>0.4135630906</v>
      </c>
      <c r="F70" s="24" t="n">
        <v>0</v>
      </c>
      <c r="G70" s="24"/>
      <c r="H70" s="24" t="n">
        <v>74</v>
      </c>
    </row>
    <row r="71" customFormat="false" ht="15" hidden="false" customHeight="true" outlineLevel="0" collapsed="false">
      <c r="A71" s="20" t="n">
        <v>46136</v>
      </c>
      <c r="B71" s="21" t="n">
        <v>3002</v>
      </c>
      <c r="C71" s="21" t="n">
        <v>7266</v>
      </c>
      <c r="D71" s="21" t="n">
        <v>0.4131571704</v>
      </c>
      <c r="E71" s="21" t="n">
        <v>0.4131571704</v>
      </c>
      <c r="F71" s="21" t="n">
        <v>0</v>
      </c>
      <c r="G71" s="21"/>
      <c r="H71" s="21" t="n">
        <v>66</v>
      </c>
    </row>
    <row r="72" customFormat="false" ht="15" hidden="false" customHeight="true" outlineLevel="0" collapsed="false">
      <c r="A72" s="23" t="n">
        <v>46143</v>
      </c>
      <c r="B72" s="24" t="n">
        <v>3028</v>
      </c>
      <c r="C72" s="24" t="n">
        <v>7336</v>
      </c>
      <c r="D72" s="24" t="n">
        <v>0.4127589967</v>
      </c>
      <c r="E72" s="24" t="n">
        <v>0.4127589967</v>
      </c>
      <c r="F72" s="24" t="n">
        <v>0</v>
      </c>
      <c r="G72" s="24"/>
      <c r="H72" s="24" t="n">
        <v>73</v>
      </c>
    </row>
    <row r="73" customFormat="false" ht="15" hidden="false" customHeight="true" outlineLevel="0" collapsed="false">
      <c r="A73" s="20" t="n">
        <v>46150</v>
      </c>
      <c r="B73" s="21" t="n">
        <v>3054</v>
      </c>
      <c r="C73" s="21" t="n">
        <v>7406</v>
      </c>
      <c r="D73" s="21" t="n">
        <v>0.41236835</v>
      </c>
      <c r="E73" s="21" t="n">
        <v>0.41236835</v>
      </c>
      <c r="F73" s="21" t="n">
        <v>0</v>
      </c>
      <c r="G73" s="21"/>
      <c r="H73" s="21" t="n">
        <v>67</v>
      </c>
    </row>
    <row r="74" customFormat="false" ht="15" hidden="false" customHeight="true" outlineLevel="0" collapsed="false">
      <c r="A74" s="23" t="n">
        <v>46157</v>
      </c>
      <c r="B74" s="24" t="n">
        <v>3080</v>
      </c>
      <c r="C74" s="24" t="n">
        <v>7476</v>
      </c>
      <c r="D74" s="24" t="n">
        <v>0.4119850187</v>
      </c>
      <c r="E74" s="24" t="n">
        <v>0.4119850187</v>
      </c>
      <c r="F74" s="24" t="n">
        <v>0</v>
      </c>
      <c r="G74" s="24"/>
      <c r="H74" s="24" t="n">
        <v>70</v>
      </c>
    </row>
    <row r="75" customFormat="false" ht="15" hidden="false" customHeight="true" outlineLevel="0" collapsed="false">
      <c r="A75" s="20" t="n">
        <v>46164</v>
      </c>
      <c r="B75" s="21" t="n">
        <v>3106</v>
      </c>
      <c r="C75" s="21" t="n">
        <v>7546</v>
      </c>
      <c r="D75" s="21" t="n">
        <v>0.4116087994</v>
      </c>
      <c r="E75" s="21" t="n">
        <v>0.4116087994</v>
      </c>
      <c r="F75" s="21" t="n">
        <v>0</v>
      </c>
      <c r="G75" s="21"/>
      <c r="H75" s="21" t="n">
        <v>71</v>
      </c>
    </row>
    <row r="76" customFormat="false" ht="15" hidden="false" customHeight="true" outlineLevel="0" collapsed="false">
      <c r="A76" s="23" t="n">
        <v>46171</v>
      </c>
      <c r="B76" s="24" t="n">
        <v>3132</v>
      </c>
      <c r="C76" s="24" t="n">
        <v>7616</v>
      </c>
      <c r="D76" s="24" t="n">
        <v>0.4112394958</v>
      </c>
      <c r="E76" s="24" t="n">
        <v>0.4112394958</v>
      </c>
      <c r="F76" s="24" t="n">
        <v>0</v>
      </c>
      <c r="G76" s="24"/>
      <c r="H76" s="24" t="n">
        <v>69</v>
      </c>
    </row>
    <row r="77" customFormat="false" ht="15" hidden="false" customHeight="true" outlineLevel="0" collapsed="false">
      <c r="A77" s="20" t="n">
        <v>46178</v>
      </c>
      <c r="B77" s="21" t="n">
        <v>3158</v>
      </c>
      <c r="C77" s="21" t="n">
        <v>7686</v>
      </c>
      <c r="D77" s="21" t="n">
        <v>0.4108769191</v>
      </c>
      <c r="E77" s="21" t="n">
        <v>0.4108769191</v>
      </c>
      <c r="F77" s="21" t="n">
        <v>0</v>
      </c>
      <c r="G77" s="21"/>
      <c r="H77" s="21" t="n">
        <v>72</v>
      </c>
    </row>
    <row r="78" customFormat="false" ht="15" hidden="false" customHeight="true" outlineLevel="0" collapsed="false">
      <c r="A78" s="23" t="n">
        <v>46185</v>
      </c>
      <c r="B78" s="24" t="n">
        <v>3184</v>
      </c>
      <c r="C78" s="24" t="n">
        <v>7756</v>
      </c>
      <c r="D78" s="24" t="n">
        <v>0.4105208871</v>
      </c>
      <c r="E78" s="24" t="n">
        <v>0.4105208871</v>
      </c>
      <c r="F78" s="24" t="n">
        <v>0</v>
      </c>
      <c r="G78" s="24"/>
      <c r="H78" s="24" t="n">
        <v>68</v>
      </c>
    </row>
    <row r="79" customFormat="false" ht="15" hidden="false" customHeight="true" outlineLevel="0" collapsed="false">
      <c r="A79" s="20" t="n">
        <v>46192</v>
      </c>
      <c r="B79" s="21" t="n">
        <v>3210</v>
      </c>
      <c r="C79" s="21" t="n">
        <v>7826</v>
      </c>
      <c r="D79" s="21" t="n">
        <v>0.4101712241</v>
      </c>
      <c r="E79" s="21" t="n">
        <v>0.4101712241</v>
      </c>
      <c r="F79" s="21" t="n">
        <v>0</v>
      </c>
      <c r="G79" s="21"/>
      <c r="H79" s="21" t="n">
        <v>68</v>
      </c>
    </row>
    <row r="80" customFormat="false" ht="15" hidden="false" customHeight="true" outlineLevel="0" collapsed="false">
      <c r="A80" s="23" t="n">
        <v>46199</v>
      </c>
      <c r="B80" s="50"/>
      <c r="C80" s="50"/>
      <c r="D80" s="50"/>
      <c r="E80" s="50"/>
      <c r="F80" s="50"/>
      <c r="G80" s="50"/>
      <c r="H80" s="50"/>
    </row>
    <row r="81" customFormat="false" ht="15" hidden="false" customHeight="true" outlineLevel="0" collapsed="false">
      <c r="A81" s="20" t="n">
        <v>46206</v>
      </c>
      <c r="B81" s="50"/>
      <c r="C81" s="50"/>
      <c r="D81" s="50"/>
      <c r="E81" s="50"/>
      <c r="F81" s="50"/>
      <c r="G81" s="50"/>
      <c r="H81" s="50"/>
    </row>
    <row r="82" customFormat="false" ht="15" hidden="false" customHeight="true" outlineLevel="0" collapsed="false">
      <c r="A82" s="23" t="n">
        <v>46213</v>
      </c>
      <c r="B82" s="50"/>
      <c r="C82" s="50"/>
      <c r="D82" s="50"/>
      <c r="E82" s="50"/>
      <c r="F82" s="50"/>
      <c r="G82" s="50"/>
      <c r="H82" s="50"/>
    </row>
    <row r="83" customFormat="false" ht="15" hidden="false" customHeight="true" outlineLevel="0" collapsed="false">
      <c r="A83" s="20" t="n">
        <v>46220</v>
      </c>
      <c r="B83" s="50"/>
      <c r="C83" s="50"/>
      <c r="D83" s="50"/>
      <c r="E83" s="50"/>
      <c r="F83" s="50"/>
      <c r="G83" s="50"/>
      <c r="H83" s="50"/>
    </row>
    <row r="84" customFormat="false" ht="15" hidden="false" customHeight="true" outlineLevel="0" collapsed="false">
      <c r="A84" s="23" t="n">
        <v>46227</v>
      </c>
      <c r="B84" s="50"/>
      <c r="C84" s="50"/>
      <c r="D84" s="50"/>
      <c r="E84" s="50"/>
      <c r="F84" s="50"/>
      <c r="G84" s="50"/>
      <c r="H84" s="50"/>
    </row>
    <row r="85" customFormat="false" ht="15" hidden="false" customHeight="true" outlineLevel="0" collapsed="false">
      <c r="A85" s="20" t="n">
        <v>46234</v>
      </c>
      <c r="B85" s="50"/>
      <c r="C85" s="50"/>
      <c r="D85" s="50"/>
      <c r="E85" s="50"/>
      <c r="F85" s="50"/>
      <c r="G85" s="50"/>
      <c r="H85" s="50"/>
    </row>
    <row r="86" customFormat="false" ht="15" hidden="false" customHeight="true" outlineLevel="0" collapsed="false">
      <c r="A86" s="23" t="n">
        <v>46241</v>
      </c>
      <c r="B86" s="50"/>
      <c r="C86" s="50"/>
      <c r="D86" s="50"/>
      <c r="E86" s="50"/>
      <c r="F86" s="50"/>
      <c r="G86" s="50"/>
      <c r="H86" s="50"/>
    </row>
    <row r="87" customFormat="false" ht="15" hidden="false" customHeight="true" outlineLevel="0" collapsed="false">
      <c r="A87" s="20" t="n">
        <v>46248</v>
      </c>
      <c r="B87" s="50"/>
      <c r="C87" s="50"/>
      <c r="D87" s="50"/>
      <c r="E87" s="50"/>
      <c r="F87" s="50"/>
      <c r="G87" s="50"/>
      <c r="H87" s="50"/>
    </row>
    <row r="88" customFormat="false" ht="15" hidden="false" customHeight="true" outlineLevel="0" collapsed="false">
      <c r="A88" s="23" t="n">
        <v>46255</v>
      </c>
      <c r="B88" s="50"/>
      <c r="C88" s="50"/>
      <c r="D88" s="50"/>
      <c r="E88" s="50"/>
      <c r="F88" s="50"/>
      <c r="G88" s="50"/>
      <c r="H88" s="50"/>
    </row>
    <row r="89" customFormat="false" ht="15" hidden="false" customHeight="true" outlineLevel="0" collapsed="false">
      <c r="A89" s="20" t="n">
        <v>46262</v>
      </c>
      <c r="B89" s="50"/>
      <c r="C89" s="50"/>
      <c r="D89" s="50"/>
      <c r="E89" s="50"/>
      <c r="F89" s="50"/>
      <c r="G89" s="50"/>
      <c r="H89" s="50"/>
    </row>
    <row r="90" customFormat="false" ht="15" hidden="false" customHeight="true" outlineLevel="0" collapsed="false">
      <c r="A90" s="23" t="n">
        <v>46269</v>
      </c>
      <c r="B90" s="50"/>
      <c r="C90" s="50"/>
      <c r="D90" s="50"/>
      <c r="E90" s="50"/>
      <c r="F90" s="50"/>
      <c r="G90" s="50"/>
      <c r="H90" s="50"/>
    </row>
    <row r="91" customFormat="false" ht="15" hidden="false" customHeight="true" outlineLevel="0" collapsed="false">
      <c r="A91" s="20" t="n">
        <v>46276</v>
      </c>
      <c r="B91" s="50"/>
      <c r="C91" s="50"/>
      <c r="D91" s="50"/>
      <c r="E91" s="50"/>
      <c r="F91" s="50"/>
      <c r="G91" s="50"/>
      <c r="H91" s="50"/>
    </row>
    <row r="92" customFormat="false" ht="15" hidden="false" customHeight="true" outlineLevel="0" collapsed="false">
      <c r="A92" s="23" t="n">
        <v>46283</v>
      </c>
      <c r="B92" s="50"/>
      <c r="C92" s="50"/>
      <c r="D92" s="50"/>
      <c r="E92" s="50"/>
      <c r="F92" s="50"/>
      <c r="G92" s="50"/>
      <c r="H92" s="50"/>
    </row>
    <row r="93" customFormat="false" ht="15" hidden="false" customHeight="true" outlineLevel="0" collapsed="false">
      <c r="A93" s="20" t="n">
        <v>46290</v>
      </c>
      <c r="B93" s="50"/>
      <c r="C93" s="50"/>
      <c r="D93" s="50"/>
      <c r="E93" s="50"/>
      <c r="F93" s="50"/>
      <c r="G93" s="50"/>
      <c r="H93" s="50"/>
    </row>
    <row r="94" customFormat="false" ht="15" hidden="false" customHeight="true" outlineLevel="0" collapsed="false">
      <c r="A94" s="23" t="n">
        <v>46297</v>
      </c>
      <c r="B94" s="50"/>
      <c r="C94" s="50"/>
      <c r="D94" s="50"/>
      <c r="E94" s="50"/>
      <c r="F94" s="50"/>
      <c r="G94" s="50"/>
      <c r="H94" s="50"/>
    </row>
    <row r="95" customFormat="false" ht="15" hidden="false" customHeight="true" outlineLevel="0" collapsed="false">
      <c r="A95" s="20" t="n">
        <v>46304</v>
      </c>
      <c r="B95" s="50"/>
      <c r="C95" s="50"/>
      <c r="D95" s="50"/>
      <c r="E95" s="50"/>
      <c r="F95" s="50"/>
      <c r="G95" s="50"/>
      <c r="H95" s="50"/>
    </row>
    <row r="96" customFormat="false" ht="15" hidden="false" customHeight="true" outlineLevel="0" collapsed="false">
      <c r="A96" s="23" t="n">
        <v>46311</v>
      </c>
      <c r="B96" s="50"/>
      <c r="C96" s="50"/>
      <c r="D96" s="50"/>
      <c r="E96" s="50"/>
      <c r="F96" s="50"/>
      <c r="G96" s="50"/>
      <c r="H96" s="50"/>
    </row>
    <row r="97" customFormat="false" ht="15" hidden="false" customHeight="true" outlineLevel="0" collapsed="false">
      <c r="A97" s="20" t="n">
        <v>46318</v>
      </c>
      <c r="B97" s="50"/>
      <c r="C97" s="50"/>
      <c r="D97" s="50"/>
      <c r="E97" s="50"/>
      <c r="F97" s="50"/>
      <c r="G97" s="50"/>
      <c r="H97" s="50"/>
    </row>
    <row r="98" customFormat="false" ht="15" hidden="false" customHeight="true" outlineLevel="0" collapsed="false">
      <c r="A98" s="23" t="n">
        <v>46325</v>
      </c>
      <c r="B98" s="50"/>
      <c r="C98" s="50"/>
      <c r="D98" s="50"/>
      <c r="E98" s="50"/>
      <c r="F98" s="50"/>
      <c r="G98" s="50"/>
      <c r="H98" s="50"/>
    </row>
    <row r="99" customFormat="false" ht="15" hidden="false" customHeight="true" outlineLevel="0" collapsed="false">
      <c r="A99" s="20" t="n">
        <v>46332</v>
      </c>
      <c r="B99" s="50"/>
      <c r="C99" s="50"/>
      <c r="D99" s="50"/>
      <c r="E99" s="50"/>
      <c r="F99" s="50"/>
      <c r="G99" s="50"/>
      <c r="H99" s="50"/>
    </row>
    <row r="100" customFormat="false" ht="15" hidden="false" customHeight="true" outlineLevel="0" collapsed="false">
      <c r="A100" s="23" t="n">
        <v>46339</v>
      </c>
      <c r="B100" s="50"/>
      <c r="C100" s="50"/>
      <c r="D100" s="50"/>
      <c r="E100" s="50"/>
      <c r="F100" s="50"/>
      <c r="G100" s="50"/>
      <c r="H100" s="50"/>
    </row>
    <row r="101" customFormat="false" ht="15" hidden="false" customHeight="true" outlineLevel="0" collapsed="false">
      <c r="A101" s="20" t="n">
        <v>46346</v>
      </c>
      <c r="B101" s="50"/>
      <c r="C101" s="50"/>
      <c r="D101" s="50"/>
      <c r="E101" s="50"/>
      <c r="F101" s="50"/>
      <c r="G101" s="50"/>
      <c r="H101" s="50"/>
    </row>
    <row r="102" customFormat="false" ht="15" hidden="false" customHeight="true" outlineLevel="0" collapsed="false">
      <c r="A102" s="23" t="n">
        <v>46353</v>
      </c>
      <c r="B102" s="50"/>
      <c r="C102" s="50"/>
      <c r="D102" s="50"/>
      <c r="E102" s="50"/>
      <c r="F102" s="50"/>
      <c r="G102" s="50"/>
      <c r="H102" s="50"/>
    </row>
    <row r="103" customFormat="false" ht="15" hidden="false" customHeight="true" outlineLevel="0" collapsed="false">
      <c r="A103" s="20" t="n">
        <v>46360</v>
      </c>
      <c r="B103" s="50"/>
      <c r="C103" s="50"/>
      <c r="D103" s="50"/>
      <c r="E103" s="50"/>
      <c r="F103" s="50"/>
      <c r="G103" s="50"/>
      <c r="H103" s="50"/>
    </row>
    <row r="104" customFormat="false" ht="15" hidden="false" customHeight="true" outlineLevel="0" collapsed="false">
      <c r="A104" s="23" t="n">
        <v>46367</v>
      </c>
      <c r="B104" s="50"/>
      <c r="C104" s="50"/>
      <c r="D104" s="50"/>
      <c r="E104" s="50"/>
      <c r="F104" s="50"/>
      <c r="G104" s="50"/>
      <c r="H104" s="50"/>
    </row>
    <row r="105" customFormat="false" ht="15" hidden="false" customHeight="true" outlineLevel="0" collapsed="false">
      <c r="A105" s="20" t="n">
        <v>46374</v>
      </c>
      <c r="B105" s="50"/>
      <c r="C105" s="50"/>
      <c r="D105" s="50"/>
      <c r="E105" s="50"/>
      <c r="F105" s="50"/>
      <c r="G105" s="50"/>
      <c r="H105" s="50"/>
    </row>
    <row r="106" customFormat="false" ht="15" hidden="false" customHeight="true" outlineLevel="0" collapsed="false">
      <c r="A106" s="23" t="n">
        <v>46381</v>
      </c>
      <c r="B106" s="50"/>
      <c r="C106" s="50"/>
      <c r="D106" s="50"/>
      <c r="E106" s="50"/>
      <c r="F106" s="50"/>
      <c r="G106" s="50"/>
      <c r="H106" s="50"/>
    </row>
    <row r="107" customFormat="false" ht="15" hidden="false" customHeight="true" outlineLevel="0" collapsed="false">
      <c r="A107" s="20" t="n">
        <v>46388</v>
      </c>
      <c r="B107" s="50"/>
      <c r="C107" s="50"/>
      <c r="D107" s="50"/>
      <c r="E107" s="50"/>
      <c r="F107" s="50"/>
      <c r="G107" s="50"/>
      <c r="H107" s="50"/>
    </row>
    <row r="108" customFormat="false" ht="15" hidden="false" customHeight="true" outlineLevel="0" collapsed="false">
      <c r="A108" s="23" t="n">
        <v>46395</v>
      </c>
      <c r="B108" s="50"/>
      <c r="C108" s="50"/>
      <c r="D108" s="50"/>
      <c r="E108" s="50"/>
      <c r="F108" s="50"/>
      <c r="G108" s="50"/>
      <c r="H108" s="50"/>
    </row>
    <row r="109" customFormat="false" ht="15" hidden="false" customHeight="true" outlineLevel="0" collapsed="false">
      <c r="A109" s="20" t="n">
        <v>46402</v>
      </c>
      <c r="B109" s="50"/>
      <c r="C109" s="50"/>
      <c r="D109" s="50"/>
      <c r="E109" s="50"/>
      <c r="F109" s="50"/>
      <c r="G109" s="50"/>
      <c r="H109" s="50"/>
    </row>
    <row r="110" customFormat="false" ht="15" hidden="false" customHeight="true" outlineLevel="0" collapsed="false">
      <c r="A110" s="23" t="n">
        <v>46409</v>
      </c>
      <c r="B110" s="50"/>
      <c r="C110" s="50"/>
      <c r="D110" s="50"/>
      <c r="E110" s="50"/>
      <c r="F110" s="50"/>
      <c r="G110" s="50"/>
      <c r="H110" s="50"/>
    </row>
    <row r="111" customFormat="false" ht="15" hidden="false" customHeight="true" outlineLevel="0" collapsed="false">
      <c r="A111" s="20" t="n">
        <v>46416</v>
      </c>
      <c r="B111" s="50"/>
      <c r="C111" s="50"/>
      <c r="D111" s="50"/>
      <c r="E111" s="50"/>
      <c r="F111" s="50"/>
      <c r="G111" s="50"/>
      <c r="H111" s="50"/>
    </row>
    <row r="112" customFormat="false" ht="15" hidden="false" customHeight="true" outlineLevel="0" collapsed="false">
      <c r="A112" s="23" t="n">
        <v>46423</v>
      </c>
      <c r="B112" s="50"/>
      <c r="C112" s="50"/>
      <c r="D112" s="50"/>
      <c r="E112" s="50"/>
      <c r="F112" s="50"/>
      <c r="G112" s="50"/>
      <c r="H112" s="50"/>
    </row>
    <row r="113" customFormat="false" ht="15" hidden="false" customHeight="true" outlineLevel="0" collapsed="false">
      <c r="A113" s="20" t="n">
        <v>46430</v>
      </c>
      <c r="B113" s="50"/>
      <c r="C113" s="50"/>
      <c r="D113" s="50"/>
      <c r="E113" s="50"/>
      <c r="F113" s="50"/>
      <c r="G113" s="50"/>
      <c r="H113" s="50"/>
    </row>
    <row r="114" customFormat="false" ht="15" hidden="false" customHeight="true" outlineLevel="0" collapsed="false">
      <c r="A114" s="23" t="n">
        <v>46437</v>
      </c>
      <c r="B114" s="50"/>
      <c r="C114" s="50"/>
      <c r="D114" s="50"/>
      <c r="E114" s="50"/>
      <c r="F114" s="50"/>
      <c r="G114" s="50"/>
      <c r="H114" s="50"/>
    </row>
    <row r="115" customFormat="false" ht="15" hidden="false" customHeight="true" outlineLevel="0" collapsed="false">
      <c r="A115" s="20" t="n">
        <v>46444</v>
      </c>
      <c r="B115" s="50"/>
      <c r="C115" s="50"/>
      <c r="D115" s="50"/>
      <c r="E115" s="50"/>
      <c r="F115" s="50"/>
      <c r="G115" s="50"/>
      <c r="H115" s="50"/>
    </row>
    <row r="116" customFormat="false" ht="15" hidden="false" customHeight="true" outlineLevel="0" collapsed="false">
      <c r="A116" s="23" t="n">
        <v>46451</v>
      </c>
      <c r="B116" s="50"/>
      <c r="C116" s="50"/>
      <c r="D116" s="50"/>
      <c r="E116" s="50"/>
      <c r="F116" s="50"/>
      <c r="G116" s="50"/>
      <c r="H116" s="50"/>
    </row>
    <row r="117" customFormat="false" ht="15" hidden="false" customHeight="true" outlineLevel="0" collapsed="false">
      <c r="A117" s="20" t="n">
        <v>46458</v>
      </c>
      <c r="B117" s="50"/>
      <c r="C117" s="50"/>
      <c r="D117" s="50"/>
      <c r="E117" s="50"/>
      <c r="F117" s="50"/>
      <c r="G117" s="50"/>
      <c r="H117" s="50"/>
    </row>
    <row r="118" customFormat="false" ht="15" hidden="false" customHeight="true" outlineLevel="0" collapsed="false">
      <c r="A118" s="23" t="n">
        <v>46465</v>
      </c>
      <c r="B118" s="50"/>
      <c r="C118" s="50"/>
      <c r="D118" s="50"/>
      <c r="E118" s="50"/>
      <c r="F118" s="50"/>
      <c r="G118" s="50"/>
      <c r="H118" s="50"/>
    </row>
    <row r="119" customFormat="false" ht="15" hidden="false" customHeight="true" outlineLevel="0" collapsed="false">
      <c r="A119" s="20" t="n">
        <v>46472</v>
      </c>
      <c r="B119" s="50"/>
      <c r="C119" s="50"/>
      <c r="D119" s="50"/>
      <c r="E119" s="50"/>
      <c r="F119" s="50"/>
      <c r="G119" s="50"/>
      <c r="H119" s="50"/>
    </row>
    <row r="120" customFormat="false" ht="15" hidden="false" customHeight="true" outlineLevel="0" collapsed="false">
      <c r="A120" s="23" t="n">
        <v>46479</v>
      </c>
      <c r="B120" s="50"/>
      <c r="C120" s="50"/>
      <c r="D120" s="50"/>
      <c r="E120" s="50"/>
      <c r="F120" s="50"/>
      <c r="G120" s="50"/>
      <c r="H120" s="50"/>
    </row>
    <row r="121" customFormat="false" ht="15" hidden="false" customHeight="true" outlineLevel="0" collapsed="false">
      <c r="A121" s="20" t="n">
        <v>46486</v>
      </c>
      <c r="B121" s="50"/>
      <c r="C121" s="50"/>
      <c r="D121" s="50"/>
      <c r="E121" s="50"/>
      <c r="F121" s="50"/>
      <c r="G121" s="50"/>
      <c r="H121" s="50"/>
    </row>
    <row r="122" customFormat="false" ht="15" hidden="false" customHeight="true" outlineLevel="0" collapsed="false">
      <c r="A122" s="23" t="n">
        <v>46493</v>
      </c>
      <c r="B122" s="50"/>
      <c r="C122" s="50"/>
      <c r="D122" s="50"/>
      <c r="E122" s="50"/>
      <c r="F122" s="50"/>
      <c r="G122" s="50"/>
      <c r="H122" s="50"/>
    </row>
    <row r="123" customFormat="false" ht="15" hidden="false" customHeight="true" outlineLevel="0" collapsed="false">
      <c r="A123" s="20" t="n">
        <v>46500</v>
      </c>
      <c r="B123" s="50"/>
      <c r="C123" s="50"/>
      <c r="D123" s="50"/>
      <c r="E123" s="50"/>
      <c r="F123" s="50"/>
      <c r="G123" s="50"/>
      <c r="H123" s="50"/>
    </row>
    <row r="124" customFormat="false" ht="15" hidden="false" customHeight="true" outlineLevel="0" collapsed="false">
      <c r="A124" s="23" t="n">
        <v>46507</v>
      </c>
      <c r="B124" s="50"/>
      <c r="C124" s="50"/>
      <c r="D124" s="50"/>
      <c r="E124" s="50"/>
      <c r="F124" s="50"/>
      <c r="G124" s="50"/>
      <c r="H124" s="50"/>
    </row>
    <row r="125" customFormat="false" ht="15" hidden="false" customHeight="true" outlineLevel="0" collapsed="false">
      <c r="A125" s="20" t="n">
        <v>46514</v>
      </c>
      <c r="B125" s="50"/>
      <c r="C125" s="50"/>
      <c r="D125" s="50"/>
      <c r="E125" s="50"/>
      <c r="F125" s="50"/>
      <c r="G125" s="50"/>
      <c r="H125" s="50"/>
    </row>
    <row r="126" customFormat="false" ht="15" hidden="false" customHeight="true" outlineLevel="0" collapsed="false">
      <c r="A126" s="23" t="n">
        <v>46521</v>
      </c>
      <c r="B126" s="50"/>
      <c r="C126" s="50"/>
      <c r="D126" s="50"/>
      <c r="E126" s="50"/>
      <c r="F126" s="50"/>
      <c r="G126" s="50"/>
      <c r="H126" s="50"/>
    </row>
    <row r="127" customFormat="false" ht="15" hidden="false" customHeight="true" outlineLevel="0" collapsed="false">
      <c r="A127" s="20" t="n">
        <v>46528</v>
      </c>
      <c r="B127" s="50"/>
      <c r="C127" s="50"/>
      <c r="D127" s="50"/>
      <c r="E127" s="50"/>
      <c r="F127" s="50"/>
      <c r="G127" s="50"/>
      <c r="H127" s="50"/>
    </row>
    <row r="128" customFormat="false" ht="15" hidden="false" customHeight="true" outlineLevel="0" collapsed="false">
      <c r="A128" s="23" t="n">
        <v>46535</v>
      </c>
      <c r="B128" s="50"/>
      <c r="C128" s="50"/>
      <c r="D128" s="50"/>
      <c r="E128" s="50"/>
      <c r="F128" s="50"/>
      <c r="G128" s="50"/>
      <c r="H128" s="50"/>
    </row>
    <row r="129" customFormat="false" ht="15" hidden="false" customHeight="true" outlineLevel="0" collapsed="false">
      <c r="A129" s="20" t="n">
        <v>46542</v>
      </c>
      <c r="B129" s="50"/>
      <c r="C129" s="50"/>
      <c r="D129" s="50"/>
      <c r="E129" s="50"/>
      <c r="F129" s="50"/>
      <c r="G129" s="50"/>
      <c r="H129" s="50"/>
    </row>
    <row r="130" customFormat="false" ht="15" hidden="false" customHeight="true" outlineLevel="0" collapsed="false">
      <c r="A130" s="23" t="n">
        <v>46549</v>
      </c>
      <c r="B130" s="50"/>
      <c r="C130" s="50"/>
      <c r="D130" s="50"/>
      <c r="E130" s="50"/>
      <c r="F130" s="50"/>
      <c r="G130" s="50"/>
      <c r="H130" s="50"/>
    </row>
    <row r="131" customFormat="false" ht="15" hidden="false" customHeight="true" outlineLevel="0" collapsed="false">
      <c r="A131" s="20" t="n">
        <v>46556</v>
      </c>
      <c r="B131" s="50"/>
      <c r="C131" s="50"/>
      <c r="D131" s="50"/>
      <c r="E131" s="50"/>
      <c r="F131" s="50"/>
      <c r="G131" s="50"/>
      <c r="H131" s="50"/>
    </row>
    <row r="132" customFormat="false" ht="15" hidden="false" customHeight="true" outlineLevel="0" collapsed="false">
      <c r="A132" s="23" t="n">
        <v>46563</v>
      </c>
      <c r="B132" s="50"/>
      <c r="C132" s="50"/>
      <c r="D132" s="50"/>
      <c r="E132" s="50"/>
      <c r="F132" s="50"/>
      <c r="G132" s="50"/>
      <c r="H132" s="50"/>
    </row>
    <row r="133" customFormat="false" ht="15" hidden="false" customHeight="true" outlineLevel="0" collapsed="false">
      <c r="A133" s="20" t="n">
        <v>46570</v>
      </c>
      <c r="B133" s="50"/>
      <c r="C133" s="50"/>
      <c r="D133" s="50"/>
      <c r="E133" s="50"/>
      <c r="F133" s="50"/>
      <c r="G133" s="50"/>
      <c r="H133" s="50"/>
    </row>
    <row r="134" customFormat="false" ht="15" hidden="false" customHeight="true" outlineLevel="0" collapsed="false">
      <c r="A134" s="23" t="n">
        <v>46577</v>
      </c>
      <c r="B134" s="50"/>
      <c r="C134" s="50"/>
      <c r="D134" s="50"/>
      <c r="E134" s="50"/>
      <c r="F134" s="50"/>
      <c r="G134" s="50"/>
      <c r="H134" s="50"/>
    </row>
    <row r="135" customFormat="false" ht="15" hidden="false" customHeight="true" outlineLevel="0" collapsed="false">
      <c r="A135" s="20" t="n">
        <v>46584</v>
      </c>
      <c r="B135" s="50"/>
      <c r="C135" s="50"/>
      <c r="D135" s="50"/>
      <c r="E135" s="50"/>
      <c r="F135" s="50"/>
      <c r="G135" s="50"/>
      <c r="H135" s="50"/>
    </row>
    <row r="136" customFormat="false" ht="15" hidden="false" customHeight="true" outlineLevel="0" collapsed="false">
      <c r="A136" s="23" t="n">
        <v>46591</v>
      </c>
      <c r="B136" s="50"/>
      <c r="C136" s="50"/>
      <c r="D136" s="50"/>
      <c r="E136" s="50"/>
      <c r="F136" s="50"/>
      <c r="G136" s="50"/>
      <c r="H136" s="50"/>
    </row>
    <row r="137" customFormat="false" ht="15" hidden="false" customHeight="true" outlineLevel="0" collapsed="false">
      <c r="A137" s="20" t="n">
        <v>46598</v>
      </c>
      <c r="B137" s="50"/>
      <c r="C137" s="50"/>
      <c r="D137" s="50"/>
      <c r="E137" s="50"/>
      <c r="F137" s="50"/>
      <c r="G137" s="50"/>
      <c r="H137" s="50"/>
    </row>
    <row r="138" customFormat="false" ht="15" hidden="false" customHeight="true" outlineLevel="0" collapsed="false">
      <c r="A138" s="23" t="n">
        <v>46605</v>
      </c>
      <c r="B138" s="50"/>
      <c r="C138" s="50"/>
      <c r="D138" s="50"/>
      <c r="E138" s="50"/>
      <c r="F138" s="50"/>
      <c r="G138" s="50"/>
      <c r="H138" s="50"/>
    </row>
    <row r="139" customFormat="false" ht="15" hidden="false" customHeight="true" outlineLevel="0" collapsed="false">
      <c r="A139" s="20" t="n">
        <v>46612</v>
      </c>
      <c r="B139" s="50"/>
      <c r="C139" s="50"/>
      <c r="D139" s="50"/>
      <c r="E139" s="50"/>
      <c r="F139" s="50"/>
      <c r="G139" s="50"/>
      <c r="H139" s="50"/>
    </row>
    <row r="140" customFormat="false" ht="15" hidden="false" customHeight="true" outlineLevel="0" collapsed="false">
      <c r="A140" s="23" t="n">
        <v>46619</v>
      </c>
      <c r="B140" s="50"/>
      <c r="C140" s="50"/>
      <c r="D140" s="50"/>
      <c r="E140" s="50"/>
      <c r="F140" s="50"/>
      <c r="G140" s="50"/>
      <c r="H140" s="50"/>
    </row>
    <row r="141" customFormat="false" ht="15" hidden="false" customHeight="true" outlineLevel="0" collapsed="false">
      <c r="A141" s="20" t="n">
        <v>46626</v>
      </c>
      <c r="B141" s="50"/>
      <c r="C141" s="50"/>
      <c r="D141" s="50"/>
      <c r="E141" s="50"/>
      <c r="F141" s="50"/>
      <c r="G141" s="50"/>
      <c r="H141" s="50"/>
    </row>
    <row r="142" customFormat="false" ht="15" hidden="false" customHeight="true" outlineLevel="0" collapsed="false">
      <c r="A142" s="23" t="n">
        <v>46633</v>
      </c>
      <c r="B142" s="50"/>
      <c r="C142" s="50"/>
      <c r="D142" s="50"/>
      <c r="E142" s="50"/>
      <c r="F142" s="50"/>
      <c r="G142" s="50"/>
      <c r="H142" s="50"/>
    </row>
    <row r="143" customFormat="false" ht="15" hidden="false" customHeight="true" outlineLevel="0" collapsed="false">
      <c r="A143" s="20" t="n">
        <v>46640</v>
      </c>
      <c r="B143" s="50"/>
      <c r="C143" s="50"/>
      <c r="D143" s="50"/>
      <c r="E143" s="50"/>
      <c r="F143" s="50"/>
      <c r="G143" s="50"/>
      <c r="H143" s="50"/>
    </row>
    <row r="144" customFormat="false" ht="15" hidden="false" customHeight="true" outlineLevel="0" collapsed="false">
      <c r="A144" s="23" t="n">
        <v>46647</v>
      </c>
      <c r="B144" s="50"/>
      <c r="C144" s="50"/>
      <c r="D144" s="50"/>
      <c r="E144" s="50"/>
      <c r="F144" s="50"/>
      <c r="G144" s="50"/>
      <c r="H144" s="50"/>
    </row>
    <row r="145" customFormat="false" ht="15" hidden="false" customHeight="true" outlineLevel="0" collapsed="false">
      <c r="A145" s="20" t="n">
        <v>46654</v>
      </c>
      <c r="B145" s="50"/>
      <c r="C145" s="50"/>
      <c r="D145" s="50"/>
      <c r="E145" s="50"/>
      <c r="F145" s="50"/>
      <c r="G145" s="50"/>
      <c r="H145" s="50"/>
    </row>
    <row r="146" customFormat="false" ht="15" hidden="false" customHeight="true" outlineLevel="0" collapsed="false">
      <c r="A146" s="23" t="n">
        <v>46661</v>
      </c>
      <c r="B146" s="50"/>
      <c r="C146" s="50"/>
      <c r="D146" s="50"/>
      <c r="E146" s="50"/>
      <c r="F146" s="50"/>
      <c r="G146" s="50"/>
      <c r="H146" s="50"/>
    </row>
    <row r="147" customFormat="false" ht="15" hidden="false" customHeight="true" outlineLevel="0" collapsed="false">
      <c r="A147" s="20" t="n">
        <v>46668</v>
      </c>
      <c r="B147" s="50"/>
      <c r="C147" s="50"/>
      <c r="D147" s="50"/>
      <c r="E147" s="50"/>
      <c r="F147" s="50"/>
      <c r="G147" s="50"/>
      <c r="H147" s="50"/>
    </row>
    <row r="148" customFormat="false" ht="15" hidden="false" customHeight="true" outlineLevel="0" collapsed="false">
      <c r="A148" s="23" t="n">
        <v>46675</v>
      </c>
      <c r="B148" s="50"/>
      <c r="C148" s="50"/>
      <c r="D148" s="50"/>
      <c r="E148" s="50"/>
      <c r="F148" s="50"/>
      <c r="G148" s="50"/>
      <c r="H148" s="50"/>
    </row>
    <row r="149" customFormat="false" ht="15" hidden="false" customHeight="true" outlineLevel="0" collapsed="false">
      <c r="A149" s="20" t="n">
        <v>46682</v>
      </c>
      <c r="B149" s="50"/>
      <c r="C149" s="50"/>
      <c r="D149" s="50"/>
      <c r="E149" s="50"/>
      <c r="F149" s="50"/>
      <c r="G149" s="50"/>
      <c r="H149" s="50"/>
    </row>
    <row r="150" customFormat="false" ht="15" hidden="false" customHeight="true" outlineLevel="0" collapsed="false">
      <c r="A150" s="23" t="n">
        <v>46689</v>
      </c>
      <c r="B150" s="50"/>
      <c r="C150" s="50"/>
      <c r="D150" s="50"/>
      <c r="E150" s="50"/>
      <c r="F150" s="50"/>
      <c r="G150" s="50"/>
      <c r="H150" s="50"/>
    </row>
    <row r="151" customFormat="false" ht="15" hidden="false" customHeight="true" outlineLevel="0" collapsed="false">
      <c r="A151" s="20" t="n">
        <v>46696</v>
      </c>
      <c r="B151" s="50"/>
      <c r="C151" s="50"/>
      <c r="D151" s="50"/>
      <c r="E151" s="50"/>
      <c r="F151" s="50"/>
      <c r="G151" s="50"/>
      <c r="H151" s="50"/>
    </row>
    <row r="152" customFormat="false" ht="15" hidden="false" customHeight="true" outlineLevel="0" collapsed="false">
      <c r="A152" s="23" t="n">
        <v>46703</v>
      </c>
      <c r="B152" s="50"/>
      <c r="C152" s="50"/>
      <c r="D152" s="50"/>
      <c r="E152" s="50"/>
      <c r="F152" s="50"/>
      <c r="G152" s="50"/>
      <c r="H152" s="50"/>
    </row>
    <row r="153" customFormat="false" ht="15" hidden="false" customHeight="true" outlineLevel="0" collapsed="false">
      <c r="A153" s="20" t="n">
        <v>46710</v>
      </c>
      <c r="B153" s="50"/>
      <c r="C153" s="50"/>
      <c r="D153" s="50"/>
      <c r="E153" s="50"/>
      <c r="F153" s="50"/>
      <c r="G153" s="50"/>
      <c r="H153" s="50"/>
    </row>
    <row r="154" customFormat="false" ht="15" hidden="false" customHeight="true" outlineLevel="0" collapsed="false">
      <c r="A154" s="23" t="n">
        <v>46717</v>
      </c>
      <c r="B154" s="50"/>
      <c r="C154" s="50"/>
      <c r="D154" s="50"/>
      <c r="E154" s="50"/>
      <c r="F154" s="50"/>
      <c r="G154" s="50"/>
      <c r="H154" s="50"/>
    </row>
    <row r="155" customFormat="false" ht="15" hidden="false" customHeight="true" outlineLevel="0" collapsed="false">
      <c r="A155" s="20" t="n">
        <v>46724</v>
      </c>
      <c r="B155" s="50"/>
      <c r="C155" s="50"/>
      <c r="D155" s="50"/>
      <c r="E155" s="50"/>
      <c r="F155" s="50"/>
      <c r="G155" s="50"/>
      <c r="H155" s="50"/>
    </row>
    <row r="156" customFormat="false" ht="15" hidden="false" customHeight="true" outlineLevel="0" collapsed="false">
      <c r="A156" s="23" t="n">
        <v>46731</v>
      </c>
      <c r="B156" s="50"/>
      <c r="C156" s="50"/>
      <c r="D156" s="50"/>
      <c r="E156" s="50"/>
      <c r="F156" s="50"/>
      <c r="G156" s="50"/>
      <c r="H156" s="50"/>
    </row>
    <row r="157" customFormat="false" ht="15" hidden="false" customHeight="true" outlineLevel="0" collapsed="false">
      <c r="A157" s="20" t="n">
        <v>46738</v>
      </c>
      <c r="B157" s="50"/>
      <c r="C157" s="50"/>
      <c r="D157" s="50"/>
      <c r="E157" s="50"/>
      <c r="F157" s="50"/>
      <c r="G157" s="50"/>
      <c r="H157" s="50"/>
    </row>
    <row r="158" customFormat="false" ht="15" hidden="false" customHeight="true" outlineLevel="0" collapsed="false">
      <c r="A158" s="23" t="n">
        <v>46745</v>
      </c>
      <c r="B158" s="50"/>
      <c r="C158" s="50"/>
      <c r="D158" s="50"/>
      <c r="E158" s="50"/>
      <c r="F158" s="50"/>
      <c r="G158" s="50"/>
      <c r="H158" s="50"/>
    </row>
    <row r="159" customFormat="false" ht="15" hidden="false" customHeight="true" outlineLevel="0" collapsed="false">
      <c r="A159" s="20" t="n">
        <v>46752</v>
      </c>
      <c r="B159" s="50"/>
      <c r="C159" s="50"/>
      <c r="D159" s="50"/>
      <c r="E159" s="50"/>
      <c r="F159" s="50"/>
      <c r="G159" s="50"/>
      <c r="H159" s="50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9" min="2" style="1" width="16"/>
  </cols>
  <sheetData>
    <row r="1" customFormat="false" ht="15" hidden="false" customHeight="true" outlineLevel="0" collapsed="false">
      <c r="A1" s="49" t="s">
        <v>119</v>
      </c>
      <c r="B1" s="49"/>
      <c r="C1" s="49"/>
      <c r="D1" s="49"/>
      <c r="E1" s="49"/>
      <c r="F1" s="49"/>
      <c r="G1" s="49"/>
      <c r="H1" s="49"/>
      <c r="I1" s="49"/>
    </row>
    <row r="2" customFormat="false" ht="27.75" hidden="false" customHeight="true" outlineLevel="0" collapsed="false">
      <c r="A2" s="13" t="s">
        <v>98</v>
      </c>
      <c r="B2" s="13" t="s">
        <v>120</v>
      </c>
      <c r="C2" s="13" t="s">
        <v>121</v>
      </c>
      <c r="D2" s="13" t="s">
        <v>122</v>
      </c>
      <c r="E2" s="13" t="s">
        <v>123</v>
      </c>
      <c r="F2" s="13" t="s">
        <v>124</v>
      </c>
      <c r="G2" s="13" t="s">
        <v>125</v>
      </c>
      <c r="H2" s="13" t="s">
        <v>126</v>
      </c>
      <c r="I2" s="13" t="s">
        <v>127</v>
      </c>
    </row>
    <row r="3" customFormat="false" ht="15" hidden="false" customHeight="true" outlineLevel="0" collapsed="false">
      <c r="A3" s="20" t="n">
        <v>45660</v>
      </c>
      <c r="B3" s="21" t="s">
        <v>128</v>
      </c>
      <c r="C3" s="21" t="n">
        <v>11</v>
      </c>
      <c r="D3" s="21" t="n">
        <v>0</v>
      </c>
      <c r="E3" s="21" t="n">
        <v>0</v>
      </c>
      <c r="F3" s="21" t="n">
        <v>0</v>
      </c>
      <c r="G3" s="21" t="n">
        <v>0</v>
      </c>
      <c r="H3" s="21" t="n">
        <v>0</v>
      </c>
      <c r="I3" s="21" t="n">
        <v>0</v>
      </c>
    </row>
    <row r="4" customFormat="false" ht="15" hidden="false" customHeight="true" outlineLevel="0" collapsed="false">
      <c r="A4" s="23" t="n">
        <v>45667</v>
      </c>
      <c r="B4" s="24" t="s">
        <v>128</v>
      </c>
      <c r="C4" s="24" t="n">
        <v>12</v>
      </c>
      <c r="D4" s="24" t="n">
        <v>0</v>
      </c>
      <c r="E4" s="24" t="n">
        <v>0</v>
      </c>
      <c r="F4" s="24" t="n">
        <v>0</v>
      </c>
      <c r="G4" s="24" t="n">
        <v>0</v>
      </c>
      <c r="H4" s="24" t="n">
        <v>0</v>
      </c>
      <c r="I4" s="24" t="n">
        <v>0</v>
      </c>
    </row>
    <row r="5" customFormat="false" ht="15" hidden="false" customHeight="true" outlineLevel="0" collapsed="false">
      <c r="A5" s="20" t="n">
        <v>45674</v>
      </c>
      <c r="B5" s="21" t="s">
        <v>128</v>
      </c>
      <c r="C5" s="21" t="n">
        <v>10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</row>
    <row r="6" customFormat="false" ht="15" hidden="false" customHeight="true" outlineLevel="0" collapsed="false">
      <c r="A6" s="23" t="n">
        <v>45681</v>
      </c>
      <c r="B6" s="24" t="s">
        <v>128</v>
      </c>
      <c r="C6" s="24" t="n">
        <v>12</v>
      </c>
      <c r="D6" s="24" t="n">
        <v>0</v>
      </c>
      <c r="E6" s="24" t="n">
        <v>0</v>
      </c>
      <c r="F6" s="24" t="n">
        <v>0</v>
      </c>
      <c r="G6" s="24" t="n">
        <v>0</v>
      </c>
      <c r="H6" s="24" t="n">
        <v>0</v>
      </c>
      <c r="I6" s="24" t="n">
        <v>0</v>
      </c>
    </row>
    <row r="7" customFormat="false" ht="15" hidden="false" customHeight="true" outlineLevel="0" collapsed="false">
      <c r="A7" s="20" t="n">
        <v>45688</v>
      </c>
      <c r="B7" s="21" t="s">
        <v>128</v>
      </c>
      <c r="C7" s="21" t="n">
        <v>11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</row>
    <row r="8" customFormat="false" ht="15" hidden="false" customHeight="true" outlineLevel="0" collapsed="false">
      <c r="A8" s="23" t="n">
        <v>45695</v>
      </c>
      <c r="B8" s="24" t="s">
        <v>128</v>
      </c>
      <c r="C8" s="24" t="n">
        <v>12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</row>
    <row r="9" customFormat="false" ht="15" hidden="false" customHeight="true" outlineLevel="0" collapsed="false">
      <c r="A9" s="20" t="n">
        <v>45702</v>
      </c>
      <c r="B9" s="21" t="s">
        <v>128</v>
      </c>
      <c r="C9" s="21" t="n">
        <v>10</v>
      </c>
      <c r="D9" s="21" t="n">
        <v>1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</row>
    <row r="10" customFormat="false" ht="15" hidden="false" customHeight="true" outlineLevel="0" collapsed="false">
      <c r="A10" s="23" t="n">
        <v>45709</v>
      </c>
      <c r="B10" s="24" t="s">
        <v>128</v>
      </c>
      <c r="C10" s="24" t="n">
        <v>9</v>
      </c>
      <c r="D10" s="24" t="n">
        <v>0</v>
      </c>
      <c r="E10" s="24" t="n">
        <v>0</v>
      </c>
      <c r="F10" s="24" t="n">
        <v>0</v>
      </c>
      <c r="G10" s="24" t="n">
        <v>0</v>
      </c>
      <c r="H10" s="24" t="n">
        <v>0</v>
      </c>
      <c r="I10" s="24" t="n">
        <v>0</v>
      </c>
    </row>
    <row r="11" customFormat="false" ht="15" hidden="false" customHeight="true" outlineLevel="0" collapsed="false">
      <c r="A11" s="20" t="n">
        <v>45716</v>
      </c>
      <c r="B11" s="21" t="s">
        <v>128</v>
      </c>
      <c r="C11" s="21" t="n">
        <v>5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</row>
    <row r="12" customFormat="false" ht="15" hidden="false" customHeight="true" outlineLevel="0" collapsed="false">
      <c r="A12" s="23" t="n">
        <v>45723</v>
      </c>
      <c r="B12" s="24" t="s">
        <v>128</v>
      </c>
      <c r="C12" s="24" t="n">
        <v>7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24" t="n">
        <v>0</v>
      </c>
    </row>
    <row r="13" customFormat="false" ht="15" hidden="false" customHeight="true" outlineLevel="0" collapsed="false">
      <c r="A13" s="20" t="n">
        <v>45730</v>
      </c>
      <c r="B13" s="21" t="s">
        <v>128</v>
      </c>
      <c r="C13" s="21" t="n">
        <v>8</v>
      </c>
      <c r="D13" s="21" t="n">
        <v>0</v>
      </c>
      <c r="E13" s="21" t="n">
        <v>1</v>
      </c>
      <c r="F13" s="21" t="n">
        <v>2</v>
      </c>
      <c r="G13" s="21" t="n">
        <v>200</v>
      </c>
      <c r="H13" s="21" t="n">
        <v>1</v>
      </c>
      <c r="I13" s="21" t="n">
        <v>12.5</v>
      </c>
    </row>
    <row r="14" customFormat="false" ht="15" hidden="false" customHeight="true" outlineLevel="0" collapsed="false">
      <c r="A14" s="23" t="n">
        <v>45737</v>
      </c>
      <c r="B14" s="24" t="s">
        <v>128</v>
      </c>
      <c r="C14" s="24" t="n">
        <v>7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</row>
    <row r="15" customFormat="false" ht="15" hidden="false" customHeight="true" outlineLevel="0" collapsed="false">
      <c r="A15" s="20" t="n">
        <v>45744</v>
      </c>
      <c r="B15" s="21" t="s">
        <v>128</v>
      </c>
      <c r="C15" s="21" t="n">
        <v>9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</row>
    <row r="16" customFormat="false" ht="15" hidden="false" customHeight="true" outlineLevel="0" collapsed="false">
      <c r="A16" s="23" t="n">
        <v>45751</v>
      </c>
      <c r="B16" s="24" t="s">
        <v>128</v>
      </c>
      <c r="C16" s="24" t="n">
        <v>9</v>
      </c>
      <c r="D16" s="24" t="n">
        <v>0</v>
      </c>
      <c r="E16" s="24" t="n">
        <v>0</v>
      </c>
      <c r="F16" s="24" t="n">
        <v>0</v>
      </c>
      <c r="G16" s="24" t="n">
        <v>0</v>
      </c>
      <c r="H16" s="24" t="n">
        <v>0</v>
      </c>
      <c r="I16" s="24" t="n">
        <v>0</v>
      </c>
    </row>
    <row r="17" customFormat="false" ht="15" hidden="false" customHeight="true" outlineLevel="0" collapsed="false">
      <c r="A17" s="20" t="n">
        <v>45758</v>
      </c>
      <c r="B17" s="21" t="s">
        <v>128</v>
      </c>
      <c r="C17" s="21" t="n">
        <v>11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</row>
    <row r="18" customFormat="false" ht="15" hidden="false" customHeight="true" outlineLevel="0" collapsed="false">
      <c r="A18" s="23" t="n">
        <v>45765</v>
      </c>
      <c r="B18" s="24" t="s">
        <v>128</v>
      </c>
      <c r="C18" s="24" t="n">
        <v>12</v>
      </c>
      <c r="D18" s="24" t="n">
        <v>0</v>
      </c>
      <c r="E18" s="24" t="n">
        <v>0</v>
      </c>
      <c r="F18" s="24" t="n">
        <v>0</v>
      </c>
      <c r="G18" s="24" t="n">
        <v>0</v>
      </c>
      <c r="H18" s="24" t="n">
        <v>0</v>
      </c>
      <c r="I18" s="24" t="n">
        <v>0</v>
      </c>
    </row>
    <row r="19" customFormat="false" ht="15" hidden="false" customHeight="true" outlineLevel="0" collapsed="false">
      <c r="A19" s="20" t="n">
        <v>45772</v>
      </c>
      <c r="B19" s="21" t="s">
        <v>128</v>
      </c>
      <c r="C19" s="21" t="n">
        <v>9</v>
      </c>
      <c r="D19" s="21" t="n">
        <v>1</v>
      </c>
      <c r="E19" s="21" t="n">
        <v>1</v>
      </c>
      <c r="F19" s="21" t="n">
        <v>1</v>
      </c>
      <c r="G19" s="21" t="n">
        <v>226</v>
      </c>
      <c r="H19" s="21" t="n">
        <v>0.4424778761</v>
      </c>
      <c r="I19" s="21" t="n">
        <v>11.11111111</v>
      </c>
    </row>
    <row r="20" customFormat="false" ht="15" hidden="false" customHeight="true" outlineLevel="0" collapsed="false">
      <c r="A20" s="23" t="n">
        <v>45779</v>
      </c>
      <c r="B20" s="24" t="s">
        <v>128</v>
      </c>
      <c r="C20" s="24" t="n">
        <v>9</v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0</v>
      </c>
      <c r="I20" s="24" t="n">
        <v>0</v>
      </c>
    </row>
    <row r="21" customFormat="false" ht="15" hidden="false" customHeight="true" outlineLevel="0" collapsed="false">
      <c r="A21" s="20" t="n">
        <v>45786</v>
      </c>
      <c r="B21" s="21" t="s">
        <v>128</v>
      </c>
      <c r="C21" s="21" t="n">
        <v>11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</row>
    <row r="22" customFormat="false" ht="15" hidden="false" customHeight="true" outlineLevel="0" collapsed="false">
      <c r="A22" s="23" t="n">
        <v>45793</v>
      </c>
      <c r="B22" s="24" t="s">
        <v>128</v>
      </c>
      <c r="C22" s="24" t="n">
        <v>12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</row>
    <row r="23" customFormat="false" ht="15" hidden="false" customHeight="true" outlineLevel="0" collapsed="false">
      <c r="A23" s="20" t="n">
        <v>45800</v>
      </c>
      <c r="B23" s="21" t="s">
        <v>128</v>
      </c>
      <c r="C23" s="21" t="n">
        <v>10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</row>
    <row r="24" customFormat="false" ht="15" hidden="false" customHeight="true" outlineLevel="0" collapsed="false">
      <c r="A24" s="23" t="n">
        <v>45807</v>
      </c>
      <c r="B24" s="24" t="s">
        <v>128</v>
      </c>
      <c r="C24" s="24" t="n">
        <v>9</v>
      </c>
      <c r="D24" s="24" t="n">
        <v>0</v>
      </c>
      <c r="E24" s="24" t="n">
        <v>0</v>
      </c>
      <c r="F24" s="24" t="n">
        <v>0</v>
      </c>
      <c r="G24" s="24" t="n">
        <v>0</v>
      </c>
      <c r="H24" s="24" t="n">
        <v>0</v>
      </c>
      <c r="I24" s="24" t="n">
        <v>0</v>
      </c>
    </row>
    <row r="25" customFormat="false" ht="15" hidden="false" customHeight="true" outlineLevel="0" collapsed="false">
      <c r="A25" s="20" t="n">
        <v>45814</v>
      </c>
      <c r="B25" s="21" t="s">
        <v>128</v>
      </c>
      <c r="C25" s="21" t="n">
        <v>3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</row>
    <row r="26" customFormat="false" ht="15" hidden="false" customHeight="true" outlineLevel="0" collapsed="false">
      <c r="A26" s="23" t="n">
        <v>45821</v>
      </c>
      <c r="B26" s="24" t="s">
        <v>128</v>
      </c>
      <c r="C26" s="24" t="n">
        <v>2</v>
      </c>
      <c r="D26" s="24" t="n">
        <v>0</v>
      </c>
      <c r="E26" s="24" t="n">
        <v>0</v>
      </c>
      <c r="F26" s="24" t="n">
        <v>0</v>
      </c>
      <c r="G26" s="24" t="n">
        <v>0</v>
      </c>
      <c r="H26" s="24" t="n">
        <v>0</v>
      </c>
      <c r="I26" s="24" t="n">
        <v>0</v>
      </c>
    </row>
    <row r="27" customFormat="false" ht="15" hidden="false" customHeight="true" outlineLevel="0" collapsed="false">
      <c r="A27" s="20" t="n">
        <v>45828</v>
      </c>
      <c r="B27" s="21" t="s">
        <v>128</v>
      </c>
      <c r="C27" s="21" t="n">
        <v>8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</row>
    <row r="28" customFormat="false" ht="15" hidden="false" customHeight="true" outlineLevel="0" collapsed="false">
      <c r="A28" s="23" t="n">
        <v>45835</v>
      </c>
      <c r="B28" s="24" t="s">
        <v>128</v>
      </c>
      <c r="C28" s="24" t="n">
        <v>5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0</v>
      </c>
    </row>
    <row r="29" customFormat="false" ht="15" hidden="false" customHeight="true" outlineLevel="0" collapsed="false">
      <c r="A29" s="20" t="n">
        <v>45842</v>
      </c>
      <c r="B29" s="21" t="s">
        <v>128</v>
      </c>
      <c r="C29" s="21" t="n">
        <v>12</v>
      </c>
      <c r="D29" s="21" t="n">
        <v>1</v>
      </c>
      <c r="E29" s="21" t="n">
        <v>1</v>
      </c>
      <c r="F29" s="21" t="n">
        <v>1</v>
      </c>
      <c r="G29" s="21" t="n">
        <v>257</v>
      </c>
      <c r="H29" s="21" t="n">
        <v>0.3891050584</v>
      </c>
      <c r="I29" s="21" t="n">
        <v>8.333333333</v>
      </c>
    </row>
    <row r="30" customFormat="false" ht="15" hidden="false" customHeight="true" outlineLevel="0" collapsed="false">
      <c r="A30" s="23" t="n">
        <v>45849</v>
      </c>
      <c r="B30" s="24" t="s">
        <v>128</v>
      </c>
      <c r="C30" s="24" t="n">
        <v>10</v>
      </c>
      <c r="D30" s="24" t="n">
        <v>1</v>
      </c>
      <c r="E30" s="24" t="n">
        <v>1</v>
      </c>
      <c r="F30" s="24" t="n">
        <v>2</v>
      </c>
      <c r="G30" s="24" t="n">
        <v>515</v>
      </c>
      <c r="H30" s="24" t="n">
        <v>0.3883495146</v>
      </c>
      <c r="I30" s="24" t="n">
        <v>10</v>
      </c>
    </row>
    <row r="31" customFormat="false" ht="15" hidden="false" customHeight="true" outlineLevel="0" collapsed="false">
      <c r="A31" s="20" t="n">
        <v>45856</v>
      </c>
      <c r="B31" s="21" t="s">
        <v>128</v>
      </c>
      <c r="C31" s="21" t="n">
        <v>11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</row>
    <row r="32" customFormat="false" ht="15" hidden="false" customHeight="true" outlineLevel="0" collapsed="false">
      <c r="A32" s="23" t="n">
        <v>45863</v>
      </c>
      <c r="B32" s="24" t="s">
        <v>128</v>
      </c>
      <c r="C32" s="24" t="n">
        <v>12</v>
      </c>
      <c r="D32" s="24" t="n">
        <v>0</v>
      </c>
      <c r="E32" s="24" t="n">
        <v>0</v>
      </c>
      <c r="F32" s="24" t="n">
        <v>0</v>
      </c>
      <c r="G32" s="24" t="n">
        <v>0</v>
      </c>
      <c r="H32" s="24" t="n">
        <v>0</v>
      </c>
      <c r="I32" s="24" t="n">
        <v>0</v>
      </c>
    </row>
    <row r="33" customFormat="false" ht="15" hidden="false" customHeight="true" outlineLevel="0" collapsed="false">
      <c r="A33" s="20" t="n">
        <v>45870</v>
      </c>
      <c r="B33" s="21" t="s">
        <v>128</v>
      </c>
      <c r="C33" s="21" t="n">
        <v>11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</row>
    <row r="34" customFormat="false" ht="15" hidden="false" customHeight="true" outlineLevel="0" collapsed="false">
      <c r="A34" s="23" t="n">
        <v>45877</v>
      </c>
      <c r="B34" s="24" t="s">
        <v>128</v>
      </c>
      <c r="C34" s="24" t="n">
        <v>10</v>
      </c>
      <c r="D34" s="24" t="n">
        <v>1</v>
      </c>
      <c r="E34" s="24" t="n">
        <v>1</v>
      </c>
      <c r="F34" s="24" t="n">
        <v>3</v>
      </c>
      <c r="G34" s="24" t="n">
        <v>891</v>
      </c>
      <c r="H34" s="24" t="n">
        <v>0.3367003367</v>
      </c>
      <c r="I34" s="24" t="n">
        <v>10</v>
      </c>
    </row>
    <row r="35" customFormat="false" ht="15" hidden="false" customHeight="true" outlineLevel="0" collapsed="false">
      <c r="A35" s="20" t="n">
        <v>45884</v>
      </c>
      <c r="B35" s="21" t="s">
        <v>128</v>
      </c>
      <c r="C35" s="21" t="n">
        <v>12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</row>
    <row r="36" customFormat="false" ht="15" hidden="false" customHeight="true" outlineLevel="0" collapsed="false">
      <c r="A36" s="23" t="n">
        <v>45891</v>
      </c>
      <c r="B36" s="24" t="s">
        <v>128</v>
      </c>
      <c r="C36" s="24" t="n">
        <v>11</v>
      </c>
      <c r="D36" s="24" t="n">
        <v>1</v>
      </c>
      <c r="E36" s="24" t="n">
        <v>0</v>
      </c>
      <c r="F36" s="24" t="n">
        <v>0</v>
      </c>
      <c r="G36" s="24" t="n">
        <v>0</v>
      </c>
      <c r="H36" s="24" t="n">
        <v>0</v>
      </c>
      <c r="I36" s="24" t="n">
        <v>0</v>
      </c>
    </row>
    <row r="37" customFormat="false" ht="15" hidden="false" customHeight="true" outlineLevel="0" collapsed="false">
      <c r="A37" s="20" t="n">
        <v>45898</v>
      </c>
      <c r="B37" s="21" t="s">
        <v>128</v>
      </c>
      <c r="C37" s="21" t="n">
        <v>7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</row>
    <row r="38" customFormat="false" ht="15" hidden="false" customHeight="true" outlineLevel="0" collapsed="false">
      <c r="A38" s="23" t="n">
        <v>45905</v>
      </c>
      <c r="B38" s="24" t="s">
        <v>128</v>
      </c>
      <c r="C38" s="24" t="n">
        <v>8</v>
      </c>
      <c r="D38" s="24" t="n">
        <v>0</v>
      </c>
      <c r="E38" s="24" t="n">
        <v>0</v>
      </c>
      <c r="F38" s="24" t="n">
        <v>0</v>
      </c>
      <c r="G38" s="24" t="n">
        <v>0</v>
      </c>
      <c r="H38" s="24" t="n">
        <v>0</v>
      </c>
      <c r="I38" s="24" t="n">
        <v>0</v>
      </c>
    </row>
    <row r="39" customFormat="false" ht="15" hidden="false" customHeight="true" outlineLevel="0" collapsed="false">
      <c r="A39" s="20" t="n">
        <v>45912</v>
      </c>
      <c r="B39" s="21" t="s">
        <v>128</v>
      </c>
      <c r="C39" s="21" t="n">
        <v>6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</row>
    <row r="40" customFormat="false" ht="15" hidden="false" customHeight="true" outlineLevel="0" collapsed="false">
      <c r="A40" s="23" t="n">
        <v>45919</v>
      </c>
      <c r="B40" s="24" t="s">
        <v>128</v>
      </c>
      <c r="C40" s="24" t="n">
        <v>7</v>
      </c>
      <c r="D40" s="24" t="n">
        <v>0</v>
      </c>
      <c r="E40" s="24" t="n">
        <v>0</v>
      </c>
      <c r="F40" s="24" t="n">
        <v>0</v>
      </c>
      <c r="G40" s="24" t="n">
        <v>0</v>
      </c>
      <c r="H40" s="24" t="n">
        <v>0</v>
      </c>
      <c r="I40" s="24" t="n">
        <v>0</v>
      </c>
    </row>
    <row r="41" customFormat="false" ht="15" hidden="false" customHeight="true" outlineLevel="0" collapsed="false">
      <c r="A41" s="20" t="n">
        <v>45926</v>
      </c>
      <c r="B41" s="21" t="s">
        <v>128</v>
      </c>
      <c r="C41" s="21" t="n">
        <v>8</v>
      </c>
      <c r="D41" s="21" t="n">
        <v>1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</row>
    <row r="42" customFormat="false" ht="15" hidden="false" customHeight="true" outlineLevel="0" collapsed="false">
      <c r="A42" s="23" t="n">
        <v>45933</v>
      </c>
      <c r="B42" s="24" t="s">
        <v>128</v>
      </c>
      <c r="C42" s="24" t="n">
        <v>7</v>
      </c>
      <c r="D42" s="24" t="n">
        <v>0</v>
      </c>
      <c r="E42" s="24" t="n">
        <v>0</v>
      </c>
      <c r="F42" s="24" t="n">
        <v>0</v>
      </c>
      <c r="G42" s="24" t="n">
        <v>0</v>
      </c>
      <c r="H42" s="24" t="n">
        <v>0</v>
      </c>
      <c r="I42" s="24" t="n">
        <v>0</v>
      </c>
    </row>
    <row r="43" customFormat="false" ht="15" hidden="false" customHeight="true" outlineLevel="0" collapsed="false">
      <c r="A43" s="20" t="n">
        <v>45940</v>
      </c>
      <c r="B43" s="21" t="s">
        <v>128</v>
      </c>
      <c r="C43" s="21" t="n">
        <v>6</v>
      </c>
      <c r="D43" s="21" t="n">
        <v>1</v>
      </c>
      <c r="E43" s="21" t="n">
        <v>1</v>
      </c>
      <c r="F43" s="21" t="n">
        <v>1</v>
      </c>
      <c r="G43" s="21" t="n">
        <v>226</v>
      </c>
      <c r="H43" s="21" t="n">
        <v>0.4424778761</v>
      </c>
      <c r="I43" s="21" t="n">
        <v>16.66666667</v>
      </c>
    </row>
    <row r="44" customFormat="false" ht="15" hidden="false" customHeight="true" outlineLevel="0" collapsed="false">
      <c r="A44" s="23" t="n">
        <v>45947</v>
      </c>
      <c r="B44" s="24" t="s">
        <v>128</v>
      </c>
      <c r="C44" s="24" t="n">
        <v>8</v>
      </c>
      <c r="D44" s="24" t="n">
        <v>0</v>
      </c>
      <c r="E44" s="24" t="n">
        <v>0</v>
      </c>
      <c r="F44" s="24" t="n">
        <v>0</v>
      </c>
      <c r="G44" s="24" t="n">
        <v>0</v>
      </c>
      <c r="H44" s="24" t="n">
        <v>0</v>
      </c>
      <c r="I44" s="24" t="n">
        <v>0</v>
      </c>
    </row>
    <row r="45" customFormat="false" ht="15" hidden="false" customHeight="true" outlineLevel="0" collapsed="false">
      <c r="A45" s="20" t="n">
        <v>45954</v>
      </c>
      <c r="B45" s="21" t="s">
        <v>128</v>
      </c>
      <c r="C45" s="21" t="n">
        <v>9</v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</row>
    <row r="46" customFormat="false" ht="15" hidden="false" customHeight="true" outlineLevel="0" collapsed="false">
      <c r="A46" s="23" t="n">
        <v>45961</v>
      </c>
      <c r="B46" s="24" t="s">
        <v>128</v>
      </c>
      <c r="C46" s="24" t="n">
        <v>7</v>
      </c>
      <c r="D46" s="24" t="n">
        <v>0</v>
      </c>
      <c r="E46" s="24" t="n">
        <v>0</v>
      </c>
      <c r="F46" s="24" t="n">
        <v>0</v>
      </c>
      <c r="G46" s="24" t="n">
        <v>0</v>
      </c>
      <c r="H46" s="24" t="n">
        <v>0</v>
      </c>
      <c r="I46" s="24" t="n">
        <v>0</v>
      </c>
    </row>
    <row r="47" customFormat="false" ht="15" hidden="false" customHeight="true" outlineLevel="0" collapsed="false">
      <c r="A47" s="20" t="n">
        <v>45968</v>
      </c>
      <c r="B47" s="21" t="s">
        <v>128</v>
      </c>
      <c r="C47" s="21" t="n">
        <v>9</v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</row>
    <row r="48" customFormat="false" ht="15" hidden="false" customHeight="true" outlineLevel="0" collapsed="false">
      <c r="A48" s="23" t="n">
        <v>45975</v>
      </c>
      <c r="B48" s="24" t="s">
        <v>128</v>
      </c>
      <c r="C48" s="24" t="n">
        <v>10</v>
      </c>
      <c r="D48" s="24" t="n">
        <v>0</v>
      </c>
      <c r="E48" s="24" t="n">
        <v>0</v>
      </c>
      <c r="F48" s="24" t="n">
        <v>0</v>
      </c>
      <c r="G48" s="24" t="n">
        <v>0</v>
      </c>
      <c r="H48" s="24" t="n">
        <v>0</v>
      </c>
      <c r="I48" s="24" t="n">
        <v>0</v>
      </c>
    </row>
    <row r="49" customFormat="false" ht="15" hidden="false" customHeight="true" outlineLevel="0" collapsed="false">
      <c r="A49" s="20" t="n">
        <v>45982</v>
      </c>
      <c r="B49" s="21" t="s">
        <v>128</v>
      </c>
      <c r="C49" s="21" t="n">
        <v>12</v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</row>
    <row r="50" customFormat="false" ht="15" hidden="false" customHeight="true" outlineLevel="0" collapsed="false">
      <c r="A50" s="23" t="n">
        <v>45989</v>
      </c>
      <c r="B50" s="24" t="s">
        <v>128</v>
      </c>
      <c r="C50" s="24" t="n">
        <v>14</v>
      </c>
      <c r="D50" s="24" t="n">
        <v>0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v>0</v>
      </c>
    </row>
    <row r="51" customFormat="false" ht="15" hidden="false" customHeight="true" outlineLevel="0" collapsed="false">
      <c r="A51" s="20" t="n">
        <v>45996</v>
      </c>
      <c r="B51" s="21" t="s">
        <v>128</v>
      </c>
      <c r="C51" s="21" t="n">
        <v>15</v>
      </c>
      <c r="D51" s="21" t="n">
        <v>1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</row>
    <row r="52" customFormat="false" ht="15" hidden="false" customHeight="true" outlineLevel="0" collapsed="false">
      <c r="A52" s="23" t="n">
        <v>46003</v>
      </c>
      <c r="B52" s="24" t="s">
        <v>128</v>
      </c>
      <c r="C52" s="24" t="n">
        <v>17</v>
      </c>
      <c r="D52" s="24" t="n">
        <v>0</v>
      </c>
      <c r="E52" s="24" t="n">
        <v>0</v>
      </c>
      <c r="F52" s="24" t="n">
        <v>0</v>
      </c>
      <c r="G52" s="24" t="n">
        <v>0</v>
      </c>
      <c r="H52" s="24" t="n">
        <v>0</v>
      </c>
      <c r="I52" s="24" t="n">
        <v>0</v>
      </c>
    </row>
    <row r="53" customFormat="false" ht="15" hidden="false" customHeight="true" outlineLevel="0" collapsed="false">
      <c r="A53" s="20" t="n">
        <v>46010</v>
      </c>
      <c r="B53" s="21" t="s">
        <v>128</v>
      </c>
      <c r="C53" s="21" t="n">
        <v>15</v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</row>
    <row r="54" customFormat="false" ht="15" hidden="false" customHeight="true" outlineLevel="0" collapsed="false">
      <c r="A54" s="23" t="n">
        <v>46017</v>
      </c>
      <c r="B54" s="24" t="s">
        <v>128</v>
      </c>
      <c r="C54" s="24" t="n">
        <v>13</v>
      </c>
      <c r="D54" s="24" t="n">
        <v>0</v>
      </c>
      <c r="E54" s="24" t="n">
        <v>0</v>
      </c>
      <c r="F54" s="24" t="n">
        <v>0</v>
      </c>
      <c r="G54" s="24" t="n">
        <v>0</v>
      </c>
      <c r="H54" s="24" t="n">
        <v>0</v>
      </c>
      <c r="I54" s="24" t="n">
        <v>0</v>
      </c>
    </row>
    <row r="55" customFormat="false" ht="15" hidden="false" customHeight="true" outlineLevel="0" collapsed="false">
      <c r="A55" s="20" t="n">
        <v>46024</v>
      </c>
      <c r="B55" s="21" t="s">
        <v>128</v>
      </c>
      <c r="C55" s="21" t="n">
        <v>6</v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</row>
    <row r="56" customFormat="false" ht="15" hidden="false" customHeight="true" outlineLevel="0" collapsed="false">
      <c r="A56" s="23" t="n">
        <v>46031</v>
      </c>
      <c r="B56" s="24" t="s">
        <v>128</v>
      </c>
      <c r="C56" s="24" t="n">
        <v>8</v>
      </c>
      <c r="D56" s="24" t="n">
        <v>1</v>
      </c>
      <c r="E56" s="24" t="n">
        <v>1</v>
      </c>
      <c r="F56" s="24" t="n">
        <v>1</v>
      </c>
      <c r="G56" s="24" t="n">
        <v>361</v>
      </c>
      <c r="H56" s="24" t="n">
        <v>0.2770083102</v>
      </c>
      <c r="I56" s="24" t="n">
        <v>12.5</v>
      </c>
    </row>
    <row r="57" customFormat="false" ht="15" hidden="false" customHeight="true" outlineLevel="0" collapsed="false">
      <c r="A57" s="20" t="n">
        <v>46038</v>
      </c>
      <c r="B57" s="21" t="s">
        <v>128</v>
      </c>
      <c r="C57" s="21" t="n">
        <v>14</v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</row>
    <row r="58" customFormat="false" ht="15" hidden="false" customHeight="true" outlineLevel="0" collapsed="false">
      <c r="A58" s="23" t="n">
        <v>46045</v>
      </c>
      <c r="B58" s="24" t="s">
        <v>128</v>
      </c>
      <c r="C58" s="24" t="n">
        <v>17</v>
      </c>
      <c r="D58" s="24" t="n">
        <v>0</v>
      </c>
      <c r="E58" s="24" t="n">
        <v>0</v>
      </c>
      <c r="F58" s="24" t="n">
        <v>0</v>
      </c>
      <c r="G58" s="24" t="n">
        <v>0</v>
      </c>
      <c r="H58" s="24" t="n">
        <v>0</v>
      </c>
      <c r="I58" s="24" t="n">
        <v>0</v>
      </c>
    </row>
    <row r="59" customFormat="false" ht="15" hidden="false" customHeight="true" outlineLevel="0" collapsed="false">
      <c r="A59" s="20" t="n">
        <v>46052</v>
      </c>
      <c r="B59" s="21" t="s">
        <v>128</v>
      </c>
      <c r="C59" s="21" t="n">
        <v>15</v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</row>
    <row r="60" customFormat="false" ht="15" hidden="false" customHeight="true" outlineLevel="0" collapsed="false">
      <c r="A60" s="23" t="n">
        <v>46059</v>
      </c>
      <c r="B60" s="24" t="s">
        <v>128</v>
      </c>
      <c r="C60" s="24" t="n">
        <v>9</v>
      </c>
      <c r="D60" s="24" t="n">
        <v>0</v>
      </c>
      <c r="E60" s="24" t="n">
        <v>0</v>
      </c>
      <c r="F60" s="24" t="n">
        <v>0</v>
      </c>
      <c r="G60" s="24" t="n">
        <v>0</v>
      </c>
      <c r="H60" s="24" t="n">
        <v>0</v>
      </c>
      <c r="I60" s="24" t="n">
        <v>0</v>
      </c>
    </row>
    <row r="61" customFormat="false" ht="15" hidden="false" customHeight="true" outlineLevel="0" collapsed="false">
      <c r="A61" s="20" t="n">
        <v>46066</v>
      </c>
      <c r="B61" s="21" t="s">
        <v>128</v>
      </c>
      <c r="C61" s="21" t="n">
        <v>7</v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</row>
    <row r="62" customFormat="false" ht="15" hidden="false" customHeight="true" outlineLevel="0" collapsed="false">
      <c r="A62" s="23" t="n">
        <v>46073</v>
      </c>
      <c r="B62" s="24" t="s">
        <v>128</v>
      </c>
      <c r="C62" s="24" t="n">
        <v>5</v>
      </c>
      <c r="D62" s="24" t="n">
        <v>0</v>
      </c>
      <c r="E62" s="24" t="n">
        <v>0</v>
      </c>
      <c r="F62" s="24" t="n">
        <v>0</v>
      </c>
      <c r="G62" s="24" t="n">
        <v>0</v>
      </c>
      <c r="H62" s="24" t="n">
        <v>0</v>
      </c>
      <c r="I62" s="24" t="n">
        <v>0</v>
      </c>
    </row>
    <row r="63" customFormat="false" ht="15" hidden="false" customHeight="true" outlineLevel="0" collapsed="false">
      <c r="A63" s="20" t="n">
        <v>46080</v>
      </c>
      <c r="B63" s="21" t="s">
        <v>128</v>
      </c>
      <c r="C63" s="21" t="n">
        <v>9</v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</row>
    <row r="64" customFormat="false" ht="15" hidden="false" customHeight="true" outlineLevel="0" collapsed="false">
      <c r="A64" s="23" t="n">
        <v>46087</v>
      </c>
      <c r="B64" s="24" t="s">
        <v>128</v>
      </c>
      <c r="C64" s="24" t="n">
        <v>6</v>
      </c>
      <c r="D64" s="24" t="n">
        <v>0</v>
      </c>
      <c r="E64" s="24" t="n">
        <v>0</v>
      </c>
      <c r="F64" s="24" t="n">
        <v>0</v>
      </c>
      <c r="G64" s="24" t="n">
        <v>0</v>
      </c>
      <c r="H64" s="24" t="n">
        <v>0</v>
      </c>
      <c r="I64" s="24" t="n">
        <v>0</v>
      </c>
    </row>
    <row r="65" customFormat="false" ht="15" hidden="false" customHeight="true" outlineLevel="0" collapsed="false">
      <c r="A65" s="20" t="n">
        <v>46094</v>
      </c>
      <c r="B65" s="21" t="s">
        <v>128</v>
      </c>
      <c r="C65" s="21" t="n">
        <v>13</v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</row>
    <row r="66" customFormat="false" ht="15" hidden="false" customHeight="true" outlineLevel="0" collapsed="false">
      <c r="A66" s="23" t="n">
        <v>46101</v>
      </c>
      <c r="B66" s="24" t="s">
        <v>128</v>
      </c>
      <c r="C66" s="24" t="n">
        <v>13</v>
      </c>
      <c r="D66" s="24" t="n">
        <v>0</v>
      </c>
      <c r="E66" s="24" t="n">
        <v>0</v>
      </c>
      <c r="F66" s="24" t="n">
        <v>0</v>
      </c>
      <c r="G66" s="24" t="n">
        <v>0</v>
      </c>
      <c r="H66" s="24" t="n">
        <v>0</v>
      </c>
      <c r="I66" s="24" t="n">
        <v>0</v>
      </c>
    </row>
    <row r="67" customFormat="false" ht="15" hidden="false" customHeight="true" outlineLevel="0" collapsed="false">
      <c r="A67" s="20" t="n">
        <v>46108</v>
      </c>
      <c r="B67" s="21" t="s">
        <v>128</v>
      </c>
      <c r="C67" s="21" t="n">
        <v>4</v>
      </c>
      <c r="D67" s="21" t="n">
        <v>1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</row>
    <row r="68" customFormat="false" ht="15" hidden="false" customHeight="true" outlineLevel="0" collapsed="false">
      <c r="A68" s="23" t="n">
        <v>46115</v>
      </c>
      <c r="B68" s="24" t="s">
        <v>128</v>
      </c>
      <c r="C68" s="24" t="n">
        <v>7</v>
      </c>
      <c r="D68" s="24" t="n">
        <v>1</v>
      </c>
      <c r="E68" s="24" t="n">
        <v>0</v>
      </c>
      <c r="F68" s="24" t="n">
        <v>0</v>
      </c>
      <c r="G68" s="24" t="n">
        <v>0</v>
      </c>
      <c r="H68" s="24" t="n">
        <v>0</v>
      </c>
      <c r="I68" s="24" t="n">
        <v>0</v>
      </c>
    </row>
    <row r="69" customFormat="false" ht="15" hidden="false" customHeight="true" outlineLevel="0" collapsed="false">
      <c r="A69" s="20" t="n">
        <v>46122</v>
      </c>
      <c r="B69" s="21" t="s">
        <v>128</v>
      </c>
      <c r="C69" s="21" t="n">
        <v>8</v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</row>
    <row r="70" customFormat="false" ht="15" hidden="false" customHeight="true" outlineLevel="0" collapsed="false">
      <c r="A70" s="23" t="n">
        <v>46129</v>
      </c>
      <c r="B70" s="24" t="s">
        <v>128</v>
      </c>
      <c r="C70" s="24" t="n">
        <v>4</v>
      </c>
      <c r="D70" s="24" t="n">
        <v>0</v>
      </c>
      <c r="E70" s="24" t="n">
        <v>0</v>
      </c>
      <c r="F70" s="24" t="n">
        <v>0</v>
      </c>
      <c r="G70" s="24" t="n">
        <v>0</v>
      </c>
      <c r="H70" s="24" t="n">
        <v>0</v>
      </c>
      <c r="I70" s="24" t="n">
        <v>0</v>
      </c>
    </row>
    <row r="71" customFormat="false" ht="15" hidden="false" customHeight="true" outlineLevel="0" collapsed="false">
      <c r="A71" s="20" t="n">
        <v>46136</v>
      </c>
      <c r="B71" s="21" t="s">
        <v>128</v>
      </c>
      <c r="C71" s="21" t="n">
        <v>8</v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</row>
    <row r="72" customFormat="false" ht="15" hidden="false" customHeight="true" outlineLevel="0" collapsed="false">
      <c r="A72" s="23" t="n">
        <v>46143</v>
      </c>
      <c r="B72" s="24" t="s">
        <v>128</v>
      </c>
      <c r="C72" s="24" t="n">
        <v>11</v>
      </c>
      <c r="D72" s="24" t="n">
        <v>0</v>
      </c>
      <c r="E72" s="24" t="n">
        <v>0</v>
      </c>
      <c r="F72" s="24" t="n">
        <v>0</v>
      </c>
      <c r="G72" s="24" t="n">
        <v>0</v>
      </c>
      <c r="H72" s="24" t="n">
        <v>0</v>
      </c>
      <c r="I72" s="24" t="n">
        <v>0</v>
      </c>
    </row>
    <row r="73" customFormat="false" ht="15" hidden="false" customHeight="true" outlineLevel="0" collapsed="false">
      <c r="A73" s="20" t="n">
        <v>46150</v>
      </c>
      <c r="B73" s="21" t="s">
        <v>128</v>
      </c>
      <c r="C73" s="21" t="n">
        <v>13</v>
      </c>
      <c r="D73" s="21" t="n">
        <v>1</v>
      </c>
      <c r="E73" s="21" t="n">
        <v>1</v>
      </c>
      <c r="F73" s="21" t="n">
        <v>1</v>
      </c>
      <c r="G73" s="21" t="n">
        <v>284</v>
      </c>
      <c r="H73" s="21" t="n">
        <v>0.3521126761</v>
      </c>
      <c r="I73" s="21" t="n">
        <v>7.692307692</v>
      </c>
    </row>
    <row r="74" customFormat="false" ht="15" hidden="false" customHeight="true" outlineLevel="0" collapsed="false">
      <c r="A74" s="23" t="n">
        <v>46157</v>
      </c>
      <c r="B74" s="24" t="s">
        <v>128</v>
      </c>
      <c r="C74" s="24" t="n">
        <v>10</v>
      </c>
      <c r="D74" s="24" t="n">
        <v>0</v>
      </c>
      <c r="E74" s="24" t="n">
        <v>0</v>
      </c>
      <c r="F74" s="24" t="n">
        <v>0</v>
      </c>
      <c r="G74" s="24" t="n">
        <v>0</v>
      </c>
      <c r="H74" s="24" t="n">
        <v>0</v>
      </c>
      <c r="I74" s="24" t="n">
        <v>0</v>
      </c>
    </row>
    <row r="75" customFormat="false" ht="15" hidden="false" customHeight="true" outlineLevel="0" collapsed="false">
      <c r="A75" s="20" t="n">
        <v>46164</v>
      </c>
      <c r="B75" s="21" t="s">
        <v>128</v>
      </c>
      <c r="C75" s="21" t="n">
        <v>15</v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</row>
    <row r="76" customFormat="false" ht="15" hidden="false" customHeight="true" outlineLevel="0" collapsed="false">
      <c r="A76" s="23" t="n">
        <v>46171</v>
      </c>
      <c r="B76" s="24" t="s">
        <v>128</v>
      </c>
      <c r="C76" s="24" t="n">
        <v>12</v>
      </c>
      <c r="D76" s="24" t="n">
        <v>0</v>
      </c>
      <c r="E76" s="24" t="n">
        <v>0</v>
      </c>
      <c r="F76" s="24" t="n">
        <v>0</v>
      </c>
      <c r="G76" s="24" t="n">
        <v>0</v>
      </c>
      <c r="H76" s="24" t="n">
        <v>0</v>
      </c>
      <c r="I76" s="24" t="n">
        <v>0</v>
      </c>
    </row>
    <row r="77" customFormat="false" ht="15" hidden="false" customHeight="true" outlineLevel="0" collapsed="false">
      <c r="A77" s="20" t="n">
        <v>46178</v>
      </c>
      <c r="B77" s="21" t="s">
        <v>128</v>
      </c>
      <c r="C77" s="21" t="n">
        <v>7</v>
      </c>
      <c r="D77" s="21" t="n">
        <v>1</v>
      </c>
      <c r="E77" s="21" t="n">
        <v>1</v>
      </c>
      <c r="F77" s="21" t="n">
        <v>3</v>
      </c>
      <c r="G77" s="21" t="n">
        <v>238</v>
      </c>
      <c r="H77" s="21" t="n">
        <v>1.260504202</v>
      </c>
      <c r="I77" s="21" t="n">
        <v>14.28571429</v>
      </c>
    </row>
    <row r="78" customFormat="false" ht="15" hidden="false" customHeight="true" outlineLevel="0" collapsed="false">
      <c r="A78" s="23" t="n">
        <v>46185</v>
      </c>
      <c r="B78" s="24" t="s">
        <v>128</v>
      </c>
      <c r="C78" s="24" t="n">
        <v>9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24" t="n">
        <v>0</v>
      </c>
    </row>
    <row r="79" customFormat="false" ht="15" hidden="false" customHeight="true" outlineLevel="0" collapsed="false">
      <c r="A79" s="20" t="n">
        <v>46192</v>
      </c>
      <c r="B79" s="21" t="s">
        <v>128</v>
      </c>
      <c r="C79" s="21" t="n">
        <v>12</v>
      </c>
      <c r="D79" s="21" t="n">
        <v>0</v>
      </c>
      <c r="E79" s="21" t="n">
        <v>0</v>
      </c>
      <c r="F79" s="21" t="n">
        <v>0</v>
      </c>
      <c r="G79" s="21" t="n">
        <v>0</v>
      </c>
      <c r="H79" s="21" t="n">
        <v>0</v>
      </c>
      <c r="I79" s="21" t="n">
        <v>0</v>
      </c>
    </row>
    <row r="80" customFormat="false" ht="15" hidden="false" customHeight="true" outlineLevel="0" collapsed="false">
      <c r="A80" s="23" t="n">
        <v>46199</v>
      </c>
      <c r="B80" s="50" t="s">
        <v>128</v>
      </c>
      <c r="C80" s="50"/>
      <c r="D80" s="50"/>
      <c r="E80" s="50"/>
      <c r="F80" s="50"/>
      <c r="G80" s="50"/>
      <c r="H80" s="50"/>
      <c r="I80" s="50"/>
    </row>
    <row r="81" customFormat="false" ht="15" hidden="false" customHeight="true" outlineLevel="0" collapsed="false">
      <c r="A81" s="20" t="n">
        <v>46206</v>
      </c>
      <c r="B81" s="50" t="s">
        <v>128</v>
      </c>
      <c r="C81" s="50"/>
      <c r="D81" s="50"/>
      <c r="E81" s="50"/>
      <c r="F81" s="50"/>
      <c r="G81" s="50"/>
      <c r="H81" s="50"/>
      <c r="I81" s="50"/>
    </row>
    <row r="82" customFormat="false" ht="15" hidden="false" customHeight="true" outlineLevel="0" collapsed="false">
      <c r="A82" s="23" t="n">
        <v>46213</v>
      </c>
      <c r="B82" s="50" t="s">
        <v>128</v>
      </c>
      <c r="C82" s="50"/>
      <c r="D82" s="50"/>
      <c r="E82" s="50"/>
      <c r="F82" s="50"/>
      <c r="G82" s="50"/>
      <c r="H82" s="50"/>
      <c r="I82" s="50"/>
    </row>
    <row r="83" customFormat="false" ht="15" hidden="false" customHeight="true" outlineLevel="0" collapsed="false">
      <c r="A83" s="20" t="n">
        <v>46220</v>
      </c>
      <c r="B83" s="50" t="s">
        <v>128</v>
      </c>
      <c r="C83" s="50"/>
      <c r="D83" s="50"/>
      <c r="E83" s="50"/>
      <c r="F83" s="50"/>
      <c r="G83" s="50"/>
      <c r="H83" s="50"/>
      <c r="I83" s="50"/>
    </row>
    <row r="84" customFormat="false" ht="15" hidden="false" customHeight="true" outlineLevel="0" collapsed="false">
      <c r="A84" s="23" t="n">
        <v>46227</v>
      </c>
      <c r="B84" s="50" t="s">
        <v>128</v>
      </c>
      <c r="C84" s="50"/>
      <c r="D84" s="50"/>
      <c r="E84" s="50"/>
      <c r="F84" s="50"/>
      <c r="G84" s="50"/>
      <c r="H84" s="50"/>
      <c r="I84" s="50"/>
    </row>
    <row r="85" customFormat="false" ht="15" hidden="false" customHeight="true" outlineLevel="0" collapsed="false">
      <c r="A85" s="20" t="n">
        <v>46234</v>
      </c>
      <c r="B85" s="50" t="s">
        <v>128</v>
      </c>
      <c r="C85" s="50"/>
      <c r="D85" s="50"/>
      <c r="E85" s="50"/>
      <c r="F85" s="50"/>
      <c r="G85" s="50"/>
      <c r="H85" s="50"/>
      <c r="I85" s="50"/>
    </row>
    <row r="86" customFormat="false" ht="15" hidden="false" customHeight="true" outlineLevel="0" collapsed="false">
      <c r="A86" s="23" t="n">
        <v>46241</v>
      </c>
      <c r="B86" s="50" t="s">
        <v>128</v>
      </c>
      <c r="C86" s="50"/>
      <c r="D86" s="50"/>
      <c r="E86" s="50"/>
      <c r="F86" s="50"/>
      <c r="G86" s="50"/>
      <c r="H86" s="50"/>
      <c r="I86" s="50"/>
    </row>
    <row r="87" customFormat="false" ht="15" hidden="false" customHeight="true" outlineLevel="0" collapsed="false">
      <c r="A87" s="20" t="n">
        <v>46248</v>
      </c>
      <c r="B87" s="50" t="s">
        <v>128</v>
      </c>
      <c r="C87" s="50"/>
      <c r="D87" s="50"/>
      <c r="E87" s="50"/>
      <c r="F87" s="50"/>
      <c r="G87" s="50"/>
      <c r="H87" s="50"/>
      <c r="I87" s="50"/>
    </row>
    <row r="88" customFormat="false" ht="15" hidden="false" customHeight="true" outlineLevel="0" collapsed="false">
      <c r="A88" s="23" t="n">
        <v>46255</v>
      </c>
      <c r="B88" s="50" t="s">
        <v>128</v>
      </c>
      <c r="C88" s="50"/>
      <c r="D88" s="50"/>
      <c r="E88" s="50"/>
      <c r="F88" s="50"/>
      <c r="G88" s="50"/>
      <c r="H88" s="50"/>
      <c r="I88" s="50"/>
    </row>
    <row r="89" customFormat="false" ht="15" hidden="false" customHeight="true" outlineLevel="0" collapsed="false">
      <c r="A89" s="20" t="n">
        <v>46262</v>
      </c>
      <c r="B89" s="50" t="s">
        <v>128</v>
      </c>
      <c r="C89" s="50"/>
      <c r="D89" s="50"/>
      <c r="E89" s="50"/>
      <c r="F89" s="50"/>
      <c r="G89" s="50"/>
      <c r="H89" s="50"/>
      <c r="I89" s="50"/>
    </row>
    <row r="90" customFormat="false" ht="15" hidden="false" customHeight="true" outlineLevel="0" collapsed="false">
      <c r="A90" s="23" t="n">
        <v>46269</v>
      </c>
      <c r="B90" s="50" t="s">
        <v>128</v>
      </c>
      <c r="C90" s="50"/>
      <c r="D90" s="50"/>
      <c r="E90" s="50"/>
      <c r="F90" s="50"/>
      <c r="G90" s="50"/>
      <c r="H90" s="50"/>
      <c r="I90" s="50"/>
    </row>
    <row r="91" customFormat="false" ht="15" hidden="false" customHeight="true" outlineLevel="0" collapsed="false">
      <c r="A91" s="20" t="n">
        <v>46276</v>
      </c>
      <c r="B91" s="50" t="s">
        <v>128</v>
      </c>
      <c r="C91" s="50"/>
      <c r="D91" s="50"/>
      <c r="E91" s="50"/>
      <c r="F91" s="50"/>
      <c r="G91" s="50"/>
      <c r="H91" s="50"/>
      <c r="I91" s="50"/>
    </row>
    <row r="92" customFormat="false" ht="15" hidden="false" customHeight="true" outlineLevel="0" collapsed="false">
      <c r="A92" s="23" t="n">
        <v>46283</v>
      </c>
      <c r="B92" s="50" t="s">
        <v>128</v>
      </c>
      <c r="C92" s="50"/>
      <c r="D92" s="50"/>
      <c r="E92" s="50"/>
      <c r="F92" s="50"/>
      <c r="G92" s="50"/>
      <c r="H92" s="50"/>
      <c r="I92" s="50"/>
    </row>
    <row r="93" customFormat="false" ht="15" hidden="false" customHeight="true" outlineLevel="0" collapsed="false">
      <c r="A93" s="20" t="n">
        <v>46290</v>
      </c>
      <c r="B93" s="50" t="s">
        <v>128</v>
      </c>
      <c r="C93" s="50"/>
      <c r="D93" s="50"/>
      <c r="E93" s="50"/>
      <c r="F93" s="50"/>
      <c r="G93" s="50"/>
      <c r="H93" s="50"/>
      <c r="I93" s="50"/>
    </row>
    <row r="94" customFormat="false" ht="15" hidden="false" customHeight="true" outlineLevel="0" collapsed="false">
      <c r="A94" s="23" t="n">
        <v>46297</v>
      </c>
      <c r="B94" s="50" t="s">
        <v>128</v>
      </c>
      <c r="C94" s="50"/>
      <c r="D94" s="50"/>
      <c r="E94" s="50"/>
      <c r="F94" s="50"/>
      <c r="G94" s="50"/>
      <c r="H94" s="50"/>
      <c r="I94" s="50"/>
    </row>
    <row r="95" customFormat="false" ht="15" hidden="false" customHeight="true" outlineLevel="0" collapsed="false">
      <c r="A95" s="20" t="n">
        <v>46304</v>
      </c>
      <c r="B95" s="50" t="s">
        <v>128</v>
      </c>
      <c r="C95" s="50"/>
      <c r="D95" s="50"/>
      <c r="E95" s="50"/>
      <c r="F95" s="50"/>
      <c r="G95" s="50"/>
      <c r="H95" s="50"/>
      <c r="I95" s="50"/>
    </row>
    <row r="96" customFormat="false" ht="15" hidden="false" customHeight="true" outlineLevel="0" collapsed="false">
      <c r="A96" s="23" t="n">
        <v>46311</v>
      </c>
      <c r="B96" s="50" t="s">
        <v>128</v>
      </c>
      <c r="C96" s="50"/>
      <c r="D96" s="50"/>
      <c r="E96" s="50"/>
      <c r="F96" s="50"/>
      <c r="G96" s="50"/>
      <c r="H96" s="50"/>
      <c r="I96" s="50"/>
    </row>
    <row r="97" customFormat="false" ht="15" hidden="false" customHeight="true" outlineLevel="0" collapsed="false">
      <c r="A97" s="20" t="n">
        <v>46318</v>
      </c>
      <c r="B97" s="50" t="s">
        <v>128</v>
      </c>
      <c r="C97" s="50"/>
      <c r="D97" s="50"/>
      <c r="E97" s="50"/>
      <c r="F97" s="50"/>
      <c r="G97" s="50"/>
      <c r="H97" s="50"/>
      <c r="I97" s="50"/>
    </row>
    <row r="98" customFormat="false" ht="15" hidden="false" customHeight="true" outlineLevel="0" collapsed="false">
      <c r="A98" s="23" t="n">
        <v>46325</v>
      </c>
      <c r="B98" s="50" t="s">
        <v>128</v>
      </c>
      <c r="C98" s="50"/>
      <c r="D98" s="50"/>
      <c r="E98" s="50"/>
      <c r="F98" s="50"/>
      <c r="G98" s="50"/>
      <c r="H98" s="50"/>
      <c r="I98" s="50"/>
    </row>
    <row r="99" customFormat="false" ht="15" hidden="false" customHeight="true" outlineLevel="0" collapsed="false">
      <c r="A99" s="20" t="n">
        <v>46332</v>
      </c>
      <c r="B99" s="50" t="s">
        <v>128</v>
      </c>
      <c r="C99" s="50"/>
      <c r="D99" s="50"/>
      <c r="E99" s="50"/>
      <c r="F99" s="50"/>
      <c r="G99" s="50"/>
      <c r="H99" s="50"/>
      <c r="I99" s="50"/>
    </row>
    <row r="100" customFormat="false" ht="15" hidden="false" customHeight="true" outlineLevel="0" collapsed="false">
      <c r="A100" s="23" t="n">
        <v>46339</v>
      </c>
      <c r="B100" s="50" t="s">
        <v>128</v>
      </c>
      <c r="C100" s="50"/>
      <c r="D100" s="50"/>
      <c r="E100" s="50"/>
      <c r="F100" s="50"/>
      <c r="G100" s="50"/>
      <c r="H100" s="50"/>
      <c r="I100" s="50"/>
    </row>
    <row r="101" customFormat="false" ht="15" hidden="false" customHeight="true" outlineLevel="0" collapsed="false">
      <c r="A101" s="20" t="n">
        <v>46346</v>
      </c>
      <c r="B101" s="50" t="s">
        <v>128</v>
      </c>
      <c r="C101" s="50"/>
      <c r="D101" s="50"/>
      <c r="E101" s="50"/>
      <c r="F101" s="50"/>
      <c r="G101" s="50"/>
      <c r="H101" s="50"/>
      <c r="I101" s="50"/>
    </row>
    <row r="102" customFormat="false" ht="15" hidden="false" customHeight="true" outlineLevel="0" collapsed="false">
      <c r="A102" s="23" t="n">
        <v>46353</v>
      </c>
      <c r="B102" s="50" t="s">
        <v>128</v>
      </c>
      <c r="C102" s="50"/>
      <c r="D102" s="50"/>
      <c r="E102" s="50"/>
      <c r="F102" s="50"/>
      <c r="G102" s="50"/>
      <c r="H102" s="50"/>
      <c r="I102" s="50"/>
    </row>
    <row r="103" customFormat="false" ht="15" hidden="false" customHeight="true" outlineLevel="0" collapsed="false">
      <c r="A103" s="20" t="n">
        <v>46360</v>
      </c>
      <c r="B103" s="50" t="s">
        <v>128</v>
      </c>
      <c r="C103" s="50"/>
      <c r="D103" s="50"/>
      <c r="E103" s="50"/>
      <c r="F103" s="50"/>
      <c r="G103" s="50"/>
      <c r="H103" s="50"/>
      <c r="I103" s="50"/>
    </row>
    <row r="104" customFormat="false" ht="15" hidden="false" customHeight="true" outlineLevel="0" collapsed="false">
      <c r="A104" s="23" t="n">
        <v>46367</v>
      </c>
      <c r="B104" s="50" t="s">
        <v>128</v>
      </c>
      <c r="C104" s="50"/>
      <c r="D104" s="50"/>
      <c r="E104" s="50"/>
      <c r="F104" s="50"/>
      <c r="G104" s="50"/>
      <c r="H104" s="50"/>
      <c r="I104" s="50"/>
    </row>
    <row r="105" customFormat="false" ht="15" hidden="false" customHeight="true" outlineLevel="0" collapsed="false">
      <c r="A105" s="20" t="n">
        <v>46374</v>
      </c>
      <c r="B105" s="50" t="s">
        <v>128</v>
      </c>
      <c r="C105" s="50"/>
      <c r="D105" s="50"/>
      <c r="E105" s="50"/>
      <c r="F105" s="50"/>
      <c r="G105" s="50"/>
      <c r="H105" s="50"/>
      <c r="I105" s="50"/>
    </row>
    <row r="106" customFormat="false" ht="15" hidden="false" customHeight="true" outlineLevel="0" collapsed="false">
      <c r="A106" s="23" t="n">
        <v>46381</v>
      </c>
      <c r="B106" s="50" t="s">
        <v>128</v>
      </c>
      <c r="C106" s="50"/>
      <c r="D106" s="50"/>
      <c r="E106" s="50"/>
      <c r="F106" s="50"/>
      <c r="G106" s="50"/>
      <c r="H106" s="50"/>
      <c r="I106" s="50"/>
    </row>
    <row r="107" customFormat="false" ht="15" hidden="false" customHeight="true" outlineLevel="0" collapsed="false">
      <c r="A107" s="20" t="n">
        <v>46388</v>
      </c>
      <c r="B107" s="50" t="s">
        <v>128</v>
      </c>
      <c r="C107" s="50"/>
      <c r="D107" s="50"/>
      <c r="E107" s="50"/>
      <c r="F107" s="50"/>
      <c r="G107" s="50"/>
      <c r="H107" s="50"/>
      <c r="I107" s="50"/>
    </row>
    <row r="108" customFormat="false" ht="15" hidden="false" customHeight="true" outlineLevel="0" collapsed="false">
      <c r="A108" s="23" t="n">
        <v>46395</v>
      </c>
      <c r="B108" s="50" t="s">
        <v>128</v>
      </c>
      <c r="C108" s="50"/>
      <c r="D108" s="50"/>
      <c r="E108" s="50"/>
      <c r="F108" s="50"/>
      <c r="G108" s="50"/>
      <c r="H108" s="50"/>
      <c r="I108" s="50"/>
    </row>
    <row r="109" customFormat="false" ht="15" hidden="false" customHeight="true" outlineLevel="0" collapsed="false">
      <c r="A109" s="20" t="n">
        <v>46402</v>
      </c>
      <c r="B109" s="50" t="s">
        <v>128</v>
      </c>
      <c r="C109" s="50"/>
      <c r="D109" s="50"/>
      <c r="E109" s="50"/>
      <c r="F109" s="50"/>
      <c r="G109" s="50"/>
      <c r="H109" s="50"/>
      <c r="I109" s="50"/>
    </row>
    <row r="110" customFormat="false" ht="15" hidden="false" customHeight="true" outlineLevel="0" collapsed="false">
      <c r="A110" s="23" t="n">
        <v>46409</v>
      </c>
      <c r="B110" s="50" t="s">
        <v>128</v>
      </c>
      <c r="C110" s="50"/>
      <c r="D110" s="50"/>
      <c r="E110" s="50"/>
      <c r="F110" s="50"/>
      <c r="G110" s="50"/>
      <c r="H110" s="50"/>
      <c r="I110" s="50"/>
    </row>
    <row r="111" customFormat="false" ht="15" hidden="false" customHeight="true" outlineLevel="0" collapsed="false">
      <c r="A111" s="20" t="n">
        <v>46416</v>
      </c>
      <c r="B111" s="50" t="s">
        <v>128</v>
      </c>
      <c r="C111" s="50"/>
      <c r="D111" s="50"/>
      <c r="E111" s="50"/>
      <c r="F111" s="50"/>
      <c r="G111" s="50"/>
      <c r="H111" s="50"/>
      <c r="I111" s="50"/>
    </row>
    <row r="112" customFormat="false" ht="15" hidden="false" customHeight="true" outlineLevel="0" collapsed="false">
      <c r="A112" s="23" t="n">
        <v>46423</v>
      </c>
      <c r="B112" s="50" t="s">
        <v>128</v>
      </c>
      <c r="C112" s="50"/>
      <c r="D112" s="50"/>
      <c r="E112" s="50"/>
      <c r="F112" s="50"/>
      <c r="G112" s="50"/>
      <c r="H112" s="50"/>
      <c r="I112" s="50"/>
    </row>
    <row r="113" customFormat="false" ht="15" hidden="false" customHeight="true" outlineLevel="0" collapsed="false">
      <c r="A113" s="20" t="n">
        <v>46430</v>
      </c>
      <c r="B113" s="50" t="s">
        <v>128</v>
      </c>
      <c r="C113" s="50"/>
      <c r="D113" s="50"/>
      <c r="E113" s="50"/>
      <c r="F113" s="50"/>
      <c r="G113" s="50"/>
      <c r="H113" s="50"/>
      <c r="I113" s="50"/>
    </row>
    <row r="114" customFormat="false" ht="15" hidden="false" customHeight="true" outlineLevel="0" collapsed="false">
      <c r="A114" s="23" t="n">
        <v>46437</v>
      </c>
      <c r="B114" s="50" t="s">
        <v>128</v>
      </c>
      <c r="C114" s="50"/>
      <c r="D114" s="50"/>
      <c r="E114" s="50"/>
      <c r="F114" s="50"/>
      <c r="G114" s="50"/>
      <c r="H114" s="50"/>
      <c r="I114" s="50"/>
    </row>
    <row r="115" customFormat="false" ht="15" hidden="false" customHeight="true" outlineLevel="0" collapsed="false">
      <c r="A115" s="20" t="n">
        <v>46444</v>
      </c>
      <c r="B115" s="50" t="s">
        <v>128</v>
      </c>
      <c r="C115" s="50"/>
      <c r="D115" s="50"/>
      <c r="E115" s="50"/>
      <c r="F115" s="50"/>
      <c r="G115" s="50"/>
      <c r="H115" s="50"/>
      <c r="I115" s="50"/>
    </row>
    <row r="116" customFormat="false" ht="15" hidden="false" customHeight="true" outlineLevel="0" collapsed="false">
      <c r="A116" s="23" t="n">
        <v>46451</v>
      </c>
      <c r="B116" s="50" t="s">
        <v>128</v>
      </c>
      <c r="C116" s="50"/>
      <c r="D116" s="50"/>
      <c r="E116" s="50"/>
      <c r="F116" s="50"/>
      <c r="G116" s="50"/>
      <c r="H116" s="50"/>
      <c r="I116" s="50"/>
    </row>
    <row r="117" customFormat="false" ht="15" hidden="false" customHeight="true" outlineLevel="0" collapsed="false">
      <c r="A117" s="20" t="n">
        <v>46458</v>
      </c>
      <c r="B117" s="50" t="s">
        <v>128</v>
      </c>
      <c r="C117" s="50"/>
      <c r="D117" s="50"/>
      <c r="E117" s="50"/>
      <c r="F117" s="50"/>
      <c r="G117" s="50"/>
      <c r="H117" s="50"/>
      <c r="I117" s="50"/>
    </row>
    <row r="118" customFormat="false" ht="15" hidden="false" customHeight="true" outlineLevel="0" collapsed="false">
      <c r="A118" s="23" t="n">
        <v>46465</v>
      </c>
      <c r="B118" s="50" t="s">
        <v>128</v>
      </c>
      <c r="C118" s="50"/>
      <c r="D118" s="50"/>
      <c r="E118" s="50"/>
      <c r="F118" s="50"/>
      <c r="G118" s="50"/>
      <c r="H118" s="50"/>
      <c r="I118" s="50"/>
    </row>
    <row r="119" customFormat="false" ht="15" hidden="false" customHeight="true" outlineLevel="0" collapsed="false">
      <c r="A119" s="20" t="n">
        <v>46472</v>
      </c>
      <c r="B119" s="50" t="s">
        <v>128</v>
      </c>
      <c r="C119" s="50"/>
      <c r="D119" s="50"/>
      <c r="E119" s="50"/>
      <c r="F119" s="50"/>
      <c r="G119" s="50"/>
      <c r="H119" s="50"/>
      <c r="I119" s="50"/>
    </row>
    <row r="120" customFormat="false" ht="15" hidden="false" customHeight="true" outlineLevel="0" collapsed="false">
      <c r="A120" s="23" t="n">
        <v>46479</v>
      </c>
      <c r="B120" s="50" t="s">
        <v>128</v>
      </c>
      <c r="C120" s="50"/>
      <c r="D120" s="50"/>
      <c r="E120" s="50"/>
      <c r="F120" s="50"/>
      <c r="G120" s="50"/>
      <c r="H120" s="50"/>
      <c r="I120" s="50"/>
    </row>
    <row r="121" customFormat="false" ht="15" hidden="false" customHeight="true" outlineLevel="0" collapsed="false">
      <c r="A121" s="20" t="n">
        <v>46486</v>
      </c>
      <c r="B121" s="50" t="s">
        <v>128</v>
      </c>
      <c r="C121" s="50"/>
      <c r="D121" s="50"/>
      <c r="E121" s="50"/>
      <c r="F121" s="50"/>
      <c r="G121" s="50"/>
      <c r="H121" s="50"/>
      <c r="I121" s="50"/>
    </row>
    <row r="122" customFormat="false" ht="15" hidden="false" customHeight="true" outlineLevel="0" collapsed="false">
      <c r="A122" s="23" t="n">
        <v>46493</v>
      </c>
      <c r="B122" s="50" t="s">
        <v>128</v>
      </c>
      <c r="C122" s="50"/>
      <c r="D122" s="50"/>
      <c r="E122" s="50"/>
      <c r="F122" s="50"/>
      <c r="G122" s="50"/>
      <c r="H122" s="50"/>
      <c r="I122" s="50"/>
    </row>
    <row r="123" customFormat="false" ht="15" hidden="false" customHeight="true" outlineLevel="0" collapsed="false">
      <c r="A123" s="20" t="n">
        <v>46500</v>
      </c>
      <c r="B123" s="50" t="s">
        <v>128</v>
      </c>
      <c r="C123" s="50"/>
      <c r="D123" s="50"/>
      <c r="E123" s="50"/>
      <c r="F123" s="50"/>
      <c r="G123" s="50"/>
      <c r="H123" s="50"/>
      <c r="I123" s="50"/>
    </row>
    <row r="124" customFormat="false" ht="15" hidden="false" customHeight="true" outlineLevel="0" collapsed="false">
      <c r="A124" s="23" t="n">
        <v>46507</v>
      </c>
      <c r="B124" s="50" t="s">
        <v>128</v>
      </c>
      <c r="C124" s="50"/>
      <c r="D124" s="50"/>
      <c r="E124" s="50"/>
      <c r="F124" s="50"/>
      <c r="G124" s="50"/>
      <c r="H124" s="50"/>
      <c r="I124" s="50"/>
    </row>
    <row r="125" customFormat="false" ht="15" hidden="false" customHeight="true" outlineLevel="0" collapsed="false">
      <c r="A125" s="20" t="n">
        <v>46514</v>
      </c>
      <c r="B125" s="50" t="s">
        <v>128</v>
      </c>
      <c r="C125" s="50"/>
      <c r="D125" s="50"/>
      <c r="E125" s="50"/>
      <c r="F125" s="50"/>
      <c r="G125" s="50"/>
      <c r="H125" s="50"/>
      <c r="I125" s="50"/>
    </row>
    <row r="126" customFormat="false" ht="15" hidden="false" customHeight="true" outlineLevel="0" collapsed="false">
      <c r="A126" s="23" t="n">
        <v>46521</v>
      </c>
      <c r="B126" s="50" t="s">
        <v>128</v>
      </c>
      <c r="C126" s="50"/>
      <c r="D126" s="50"/>
      <c r="E126" s="50"/>
      <c r="F126" s="50"/>
      <c r="G126" s="50"/>
      <c r="H126" s="50"/>
      <c r="I126" s="50"/>
    </row>
    <row r="127" customFormat="false" ht="15" hidden="false" customHeight="true" outlineLevel="0" collapsed="false">
      <c r="A127" s="20" t="n">
        <v>46528</v>
      </c>
      <c r="B127" s="50" t="s">
        <v>128</v>
      </c>
      <c r="C127" s="50"/>
      <c r="D127" s="50"/>
      <c r="E127" s="50"/>
      <c r="F127" s="50"/>
      <c r="G127" s="50"/>
      <c r="H127" s="50"/>
      <c r="I127" s="50"/>
    </row>
    <row r="128" customFormat="false" ht="15" hidden="false" customHeight="true" outlineLevel="0" collapsed="false">
      <c r="A128" s="23" t="n">
        <v>46535</v>
      </c>
      <c r="B128" s="50" t="s">
        <v>128</v>
      </c>
      <c r="C128" s="50"/>
      <c r="D128" s="50"/>
      <c r="E128" s="50"/>
      <c r="F128" s="50"/>
      <c r="G128" s="50"/>
      <c r="H128" s="50"/>
      <c r="I128" s="50"/>
    </row>
    <row r="129" customFormat="false" ht="15" hidden="false" customHeight="true" outlineLevel="0" collapsed="false">
      <c r="A129" s="20" t="n">
        <v>46542</v>
      </c>
      <c r="B129" s="50" t="s">
        <v>128</v>
      </c>
      <c r="C129" s="50"/>
      <c r="D129" s="50"/>
      <c r="E129" s="50"/>
      <c r="F129" s="50"/>
      <c r="G129" s="50"/>
      <c r="H129" s="50"/>
      <c r="I129" s="50"/>
    </row>
    <row r="130" customFormat="false" ht="15" hidden="false" customHeight="true" outlineLevel="0" collapsed="false">
      <c r="A130" s="23" t="n">
        <v>46549</v>
      </c>
      <c r="B130" s="50" t="s">
        <v>128</v>
      </c>
      <c r="C130" s="50"/>
      <c r="D130" s="50"/>
      <c r="E130" s="50"/>
      <c r="F130" s="50"/>
      <c r="G130" s="50"/>
      <c r="H130" s="50"/>
      <c r="I130" s="50"/>
    </row>
    <row r="131" customFormat="false" ht="15" hidden="false" customHeight="true" outlineLevel="0" collapsed="false">
      <c r="A131" s="20" t="n">
        <v>46556</v>
      </c>
      <c r="B131" s="50" t="s">
        <v>128</v>
      </c>
      <c r="C131" s="50"/>
      <c r="D131" s="50"/>
      <c r="E131" s="50"/>
      <c r="F131" s="50"/>
      <c r="G131" s="50"/>
      <c r="H131" s="50"/>
      <c r="I131" s="50"/>
    </row>
    <row r="132" customFormat="false" ht="15" hidden="false" customHeight="true" outlineLevel="0" collapsed="false">
      <c r="A132" s="23" t="n">
        <v>46563</v>
      </c>
      <c r="B132" s="50" t="s">
        <v>128</v>
      </c>
      <c r="C132" s="50"/>
      <c r="D132" s="50"/>
      <c r="E132" s="50"/>
      <c r="F132" s="50"/>
      <c r="G132" s="50"/>
      <c r="H132" s="50"/>
      <c r="I132" s="50"/>
    </row>
    <row r="133" customFormat="false" ht="15" hidden="false" customHeight="true" outlineLevel="0" collapsed="false">
      <c r="A133" s="20" t="n">
        <v>46570</v>
      </c>
      <c r="B133" s="50" t="s">
        <v>128</v>
      </c>
      <c r="C133" s="50"/>
      <c r="D133" s="50"/>
      <c r="E133" s="50"/>
      <c r="F133" s="50"/>
      <c r="G133" s="50"/>
      <c r="H133" s="50"/>
      <c r="I133" s="50"/>
    </row>
    <row r="134" customFormat="false" ht="15" hidden="false" customHeight="true" outlineLevel="0" collapsed="false">
      <c r="A134" s="23" t="n">
        <v>46577</v>
      </c>
      <c r="B134" s="50" t="s">
        <v>128</v>
      </c>
      <c r="C134" s="50"/>
      <c r="D134" s="50"/>
      <c r="E134" s="50"/>
      <c r="F134" s="50"/>
      <c r="G134" s="50"/>
      <c r="H134" s="50"/>
      <c r="I134" s="50"/>
    </row>
    <row r="135" customFormat="false" ht="15" hidden="false" customHeight="true" outlineLevel="0" collapsed="false">
      <c r="A135" s="20" t="n">
        <v>46584</v>
      </c>
      <c r="B135" s="50" t="s">
        <v>128</v>
      </c>
      <c r="C135" s="50"/>
      <c r="D135" s="50"/>
      <c r="E135" s="50"/>
      <c r="F135" s="50"/>
      <c r="G135" s="50"/>
      <c r="H135" s="50"/>
      <c r="I135" s="50"/>
    </row>
    <row r="136" customFormat="false" ht="15" hidden="false" customHeight="true" outlineLevel="0" collapsed="false">
      <c r="A136" s="23" t="n">
        <v>46591</v>
      </c>
      <c r="B136" s="50" t="s">
        <v>128</v>
      </c>
      <c r="C136" s="50"/>
      <c r="D136" s="50"/>
      <c r="E136" s="50"/>
      <c r="F136" s="50"/>
      <c r="G136" s="50"/>
      <c r="H136" s="50"/>
      <c r="I136" s="50"/>
    </row>
    <row r="137" customFormat="false" ht="15" hidden="false" customHeight="true" outlineLevel="0" collapsed="false">
      <c r="A137" s="20" t="n">
        <v>46598</v>
      </c>
      <c r="B137" s="50" t="s">
        <v>128</v>
      </c>
      <c r="C137" s="50"/>
      <c r="D137" s="50"/>
      <c r="E137" s="50"/>
      <c r="F137" s="50"/>
      <c r="G137" s="50"/>
      <c r="H137" s="50"/>
      <c r="I137" s="50"/>
    </row>
    <row r="138" customFormat="false" ht="15" hidden="false" customHeight="true" outlineLevel="0" collapsed="false">
      <c r="A138" s="23" t="n">
        <v>46605</v>
      </c>
      <c r="B138" s="50" t="s">
        <v>128</v>
      </c>
      <c r="C138" s="50"/>
      <c r="D138" s="50"/>
      <c r="E138" s="50"/>
      <c r="F138" s="50"/>
      <c r="G138" s="50"/>
      <c r="H138" s="50"/>
      <c r="I138" s="50"/>
    </row>
    <row r="139" customFormat="false" ht="15" hidden="false" customHeight="true" outlineLevel="0" collapsed="false">
      <c r="A139" s="20" t="n">
        <v>46612</v>
      </c>
      <c r="B139" s="50" t="s">
        <v>128</v>
      </c>
      <c r="C139" s="50"/>
      <c r="D139" s="50"/>
      <c r="E139" s="50"/>
      <c r="F139" s="50"/>
      <c r="G139" s="50"/>
      <c r="H139" s="50"/>
      <c r="I139" s="50"/>
    </row>
    <row r="140" customFormat="false" ht="15" hidden="false" customHeight="true" outlineLevel="0" collapsed="false">
      <c r="A140" s="23" t="n">
        <v>46619</v>
      </c>
      <c r="B140" s="50" t="s">
        <v>128</v>
      </c>
      <c r="C140" s="50"/>
      <c r="D140" s="50"/>
      <c r="E140" s="50"/>
      <c r="F140" s="50"/>
      <c r="G140" s="50"/>
      <c r="H140" s="50"/>
      <c r="I140" s="50"/>
    </row>
    <row r="141" customFormat="false" ht="15" hidden="false" customHeight="true" outlineLevel="0" collapsed="false">
      <c r="A141" s="20" t="n">
        <v>46626</v>
      </c>
      <c r="B141" s="50" t="s">
        <v>128</v>
      </c>
      <c r="C141" s="50"/>
      <c r="D141" s="50"/>
      <c r="E141" s="50"/>
      <c r="F141" s="50"/>
      <c r="G141" s="50"/>
      <c r="H141" s="50"/>
      <c r="I141" s="50"/>
    </row>
    <row r="142" customFormat="false" ht="15" hidden="false" customHeight="true" outlineLevel="0" collapsed="false">
      <c r="A142" s="23" t="n">
        <v>46633</v>
      </c>
      <c r="B142" s="50" t="s">
        <v>128</v>
      </c>
      <c r="C142" s="50"/>
      <c r="D142" s="50"/>
      <c r="E142" s="50"/>
      <c r="F142" s="50"/>
      <c r="G142" s="50"/>
      <c r="H142" s="50"/>
      <c r="I142" s="50"/>
    </row>
    <row r="143" customFormat="false" ht="15" hidden="false" customHeight="true" outlineLevel="0" collapsed="false">
      <c r="A143" s="20" t="n">
        <v>46640</v>
      </c>
      <c r="B143" s="50" t="s">
        <v>128</v>
      </c>
      <c r="C143" s="50"/>
      <c r="D143" s="50"/>
      <c r="E143" s="50"/>
      <c r="F143" s="50"/>
      <c r="G143" s="50"/>
      <c r="H143" s="50"/>
      <c r="I143" s="50"/>
    </row>
    <row r="144" customFormat="false" ht="15" hidden="false" customHeight="true" outlineLevel="0" collapsed="false">
      <c r="A144" s="23" t="n">
        <v>46647</v>
      </c>
      <c r="B144" s="50" t="s">
        <v>128</v>
      </c>
      <c r="C144" s="50"/>
      <c r="D144" s="50"/>
      <c r="E144" s="50"/>
      <c r="F144" s="50"/>
      <c r="G144" s="50"/>
      <c r="H144" s="50"/>
      <c r="I144" s="50"/>
    </row>
    <row r="145" customFormat="false" ht="15" hidden="false" customHeight="true" outlineLevel="0" collapsed="false">
      <c r="A145" s="20" t="n">
        <v>46654</v>
      </c>
      <c r="B145" s="50" t="s">
        <v>128</v>
      </c>
      <c r="C145" s="50"/>
      <c r="D145" s="50"/>
      <c r="E145" s="50"/>
      <c r="F145" s="50"/>
      <c r="G145" s="50"/>
      <c r="H145" s="50"/>
      <c r="I145" s="50"/>
    </row>
    <row r="146" customFormat="false" ht="15" hidden="false" customHeight="true" outlineLevel="0" collapsed="false">
      <c r="A146" s="23" t="n">
        <v>46661</v>
      </c>
      <c r="B146" s="50" t="s">
        <v>128</v>
      </c>
      <c r="C146" s="50"/>
      <c r="D146" s="50"/>
      <c r="E146" s="50"/>
      <c r="F146" s="50"/>
      <c r="G146" s="50"/>
      <c r="H146" s="50"/>
      <c r="I146" s="50"/>
    </row>
    <row r="147" customFormat="false" ht="15" hidden="false" customHeight="true" outlineLevel="0" collapsed="false">
      <c r="A147" s="20" t="n">
        <v>46668</v>
      </c>
      <c r="B147" s="50" t="s">
        <v>128</v>
      </c>
      <c r="C147" s="50"/>
      <c r="D147" s="50"/>
      <c r="E147" s="50"/>
      <c r="F147" s="50"/>
      <c r="G147" s="50"/>
      <c r="H147" s="50"/>
      <c r="I147" s="50"/>
    </row>
    <row r="148" customFormat="false" ht="15" hidden="false" customHeight="true" outlineLevel="0" collapsed="false">
      <c r="A148" s="23" t="n">
        <v>46675</v>
      </c>
      <c r="B148" s="50" t="s">
        <v>128</v>
      </c>
      <c r="C148" s="50"/>
      <c r="D148" s="50"/>
      <c r="E148" s="50"/>
      <c r="F148" s="50"/>
      <c r="G148" s="50"/>
      <c r="H148" s="50"/>
      <c r="I148" s="50"/>
    </row>
    <row r="149" customFormat="false" ht="15" hidden="false" customHeight="true" outlineLevel="0" collapsed="false">
      <c r="A149" s="20" t="n">
        <v>46682</v>
      </c>
      <c r="B149" s="50" t="s">
        <v>128</v>
      </c>
      <c r="C149" s="50"/>
      <c r="D149" s="50"/>
      <c r="E149" s="50"/>
      <c r="F149" s="50"/>
      <c r="G149" s="50"/>
      <c r="H149" s="50"/>
      <c r="I149" s="50"/>
    </row>
    <row r="150" customFormat="false" ht="15" hidden="false" customHeight="true" outlineLevel="0" collapsed="false">
      <c r="A150" s="23" t="n">
        <v>46689</v>
      </c>
      <c r="B150" s="50" t="s">
        <v>128</v>
      </c>
      <c r="C150" s="50"/>
      <c r="D150" s="50"/>
      <c r="E150" s="50"/>
      <c r="F150" s="50"/>
      <c r="G150" s="50"/>
      <c r="H150" s="50"/>
      <c r="I150" s="50"/>
    </row>
    <row r="151" customFormat="false" ht="15" hidden="false" customHeight="true" outlineLevel="0" collapsed="false">
      <c r="A151" s="20" t="n">
        <v>46696</v>
      </c>
      <c r="B151" s="50" t="s">
        <v>128</v>
      </c>
      <c r="C151" s="50"/>
      <c r="D151" s="50"/>
      <c r="E151" s="50"/>
      <c r="F151" s="50"/>
      <c r="G151" s="50"/>
      <c r="H151" s="50"/>
      <c r="I151" s="50"/>
    </row>
    <row r="152" customFormat="false" ht="15" hidden="false" customHeight="true" outlineLevel="0" collapsed="false">
      <c r="A152" s="23" t="n">
        <v>46703</v>
      </c>
      <c r="B152" s="50" t="s">
        <v>128</v>
      </c>
      <c r="C152" s="50"/>
      <c r="D152" s="50"/>
      <c r="E152" s="50"/>
      <c r="F152" s="50"/>
      <c r="G152" s="50"/>
      <c r="H152" s="50"/>
      <c r="I152" s="50"/>
    </row>
    <row r="153" customFormat="false" ht="15" hidden="false" customHeight="true" outlineLevel="0" collapsed="false">
      <c r="A153" s="20" t="n">
        <v>46710</v>
      </c>
      <c r="B153" s="50" t="s">
        <v>128</v>
      </c>
      <c r="C153" s="50"/>
      <c r="D153" s="50"/>
      <c r="E153" s="50"/>
      <c r="F153" s="50"/>
      <c r="G153" s="50"/>
      <c r="H153" s="50"/>
      <c r="I153" s="50"/>
    </row>
    <row r="154" customFormat="false" ht="15" hidden="false" customHeight="true" outlineLevel="0" collapsed="false">
      <c r="A154" s="23" t="n">
        <v>46717</v>
      </c>
      <c r="B154" s="50" t="s">
        <v>128</v>
      </c>
      <c r="C154" s="50"/>
      <c r="D154" s="50"/>
      <c r="E154" s="50"/>
      <c r="F154" s="50"/>
      <c r="G154" s="50"/>
      <c r="H154" s="50"/>
      <c r="I154" s="50"/>
    </row>
    <row r="155" customFormat="false" ht="15" hidden="false" customHeight="true" outlineLevel="0" collapsed="false">
      <c r="A155" s="20" t="n">
        <v>46724</v>
      </c>
      <c r="B155" s="50" t="s">
        <v>128</v>
      </c>
      <c r="C155" s="50"/>
      <c r="D155" s="50"/>
      <c r="E155" s="50"/>
      <c r="F155" s="50"/>
      <c r="G155" s="50"/>
      <c r="H155" s="50"/>
      <c r="I155" s="50"/>
    </row>
    <row r="156" customFormat="false" ht="15" hidden="false" customHeight="true" outlineLevel="0" collapsed="false">
      <c r="A156" s="23" t="n">
        <v>46731</v>
      </c>
      <c r="B156" s="50" t="s">
        <v>128</v>
      </c>
      <c r="C156" s="50"/>
      <c r="D156" s="50"/>
      <c r="E156" s="50"/>
      <c r="F156" s="50"/>
      <c r="G156" s="50"/>
      <c r="H156" s="50"/>
      <c r="I156" s="50"/>
    </row>
    <row r="157" customFormat="false" ht="15" hidden="false" customHeight="true" outlineLevel="0" collapsed="false">
      <c r="A157" s="20" t="n">
        <v>46738</v>
      </c>
      <c r="B157" s="50" t="s">
        <v>128</v>
      </c>
      <c r="C157" s="50"/>
      <c r="D157" s="50"/>
      <c r="E157" s="50"/>
      <c r="F157" s="50"/>
      <c r="G157" s="50"/>
      <c r="H157" s="50"/>
      <c r="I157" s="50"/>
    </row>
    <row r="158" customFormat="false" ht="15" hidden="false" customHeight="true" outlineLevel="0" collapsed="false">
      <c r="A158" s="23" t="n">
        <v>46745</v>
      </c>
      <c r="B158" s="50" t="s">
        <v>128</v>
      </c>
      <c r="C158" s="50"/>
      <c r="D158" s="50"/>
      <c r="E158" s="50"/>
      <c r="F158" s="50"/>
      <c r="G158" s="50"/>
      <c r="H158" s="50"/>
      <c r="I158" s="50"/>
    </row>
    <row r="159" customFormat="false" ht="15" hidden="false" customHeight="true" outlineLevel="0" collapsed="false">
      <c r="A159" s="20" t="n">
        <v>46752</v>
      </c>
      <c r="B159" s="50" t="s">
        <v>128</v>
      </c>
      <c r="C159" s="50"/>
      <c r="D159" s="50"/>
      <c r="E159" s="50"/>
      <c r="F159" s="50"/>
      <c r="G159" s="50"/>
      <c r="H159" s="50"/>
      <c r="I159" s="50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9" min="2" style="1" width="20"/>
  </cols>
  <sheetData>
    <row r="1" customFormat="false" ht="15" hidden="false" customHeight="true" outlineLevel="0" collapsed="false">
      <c r="A1" s="49" t="s">
        <v>129</v>
      </c>
      <c r="B1" s="49"/>
      <c r="C1" s="49"/>
      <c r="D1" s="49"/>
      <c r="E1" s="49"/>
      <c r="F1" s="49"/>
      <c r="G1" s="49"/>
      <c r="H1" s="49"/>
      <c r="I1" s="49"/>
    </row>
    <row r="2" customFormat="false" ht="27.75" hidden="false" customHeight="true" outlineLevel="0" collapsed="false">
      <c r="A2" s="13" t="s">
        <v>21</v>
      </c>
      <c r="B2" s="13" t="s">
        <v>130</v>
      </c>
      <c r="C2" s="13" t="s">
        <v>131</v>
      </c>
      <c r="D2" s="13" t="s">
        <v>132</v>
      </c>
      <c r="E2" s="13" t="s">
        <v>133</v>
      </c>
      <c r="F2" s="13" t="s">
        <v>134</v>
      </c>
      <c r="G2" s="13" t="s">
        <v>135</v>
      </c>
      <c r="H2" s="13" t="s">
        <v>136</v>
      </c>
      <c r="I2" s="13" t="s">
        <v>137</v>
      </c>
    </row>
    <row r="3" customFormat="false" ht="15" hidden="false" customHeight="true" outlineLevel="0" collapsed="false">
      <c r="A3" s="18" t="n">
        <v>46220</v>
      </c>
      <c r="B3" s="52"/>
      <c r="C3" s="52"/>
      <c r="D3" s="52"/>
      <c r="E3" s="52"/>
      <c r="F3" s="52"/>
      <c r="G3" s="52"/>
      <c r="H3" s="52"/>
      <c r="I3" s="52"/>
    </row>
    <row r="4" customFormat="false" ht="15" hidden="false" customHeight="true" outlineLevel="0" collapsed="false">
      <c r="A4" s="18" t="n">
        <v>46227</v>
      </c>
      <c r="B4" s="52"/>
      <c r="C4" s="52"/>
      <c r="D4" s="52"/>
      <c r="E4" s="52"/>
      <c r="F4" s="52"/>
      <c r="G4" s="52"/>
      <c r="H4" s="52"/>
      <c r="I4" s="52"/>
    </row>
    <row r="5" customFormat="false" ht="15" hidden="false" customHeight="true" outlineLevel="0" collapsed="false">
      <c r="A5" s="18" t="n">
        <v>46234</v>
      </c>
      <c r="B5" s="52"/>
      <c r="C5" s="52"/>
      <c r="D5" s="52"/>
      <c r="E5" s="52"/>
      <c r="F5" s="52"/>
      <c r="G5" s="52"/>
      <c r="H5" s="52"/>
      <c r="I5" s="52"/>
    </row>
    <row r="6" customFormat="false" ht="15" hidden="false" customHeight="true" outlineLevel="0" collapsed="false">
      <c r="A6" s="18" t="n">
        <v>46241</v>
      </c>
      <c r="B6" s="52"/>
      <c r="C6" s="52"/>
      <c r="D6" s="52"/>
      <c r="E6" s="52"/>
      <c r="F6" s="52"/>
      <c r="G6" s="52"/>
      <c r="H6" s="52"/>
      <c r="I6" s="52"/>
    </row>
    <row r="7" customFormat="false" ht="15" hidden="false" customHeight="true" outlineLevel="0" collapsed="false">
      <c r="A7" s="18" t="n">
        <v>46248</v>
      </c>
      <c r="B7" s="52"/>
      <c r="C7" s="52"/>
      <c r="D7" s="52"/>
      <c r="E7" s="52"/>
      <c r="F7" s="52"/>
      <c r="G7" s="52"/>
      <c r="H7" s="52"/>
      <c r="I7" s="52"/>
    </row>
    <row r="8" customFormat="false" ht="15" hidden="false" customHeight="true" outlineLevel="0" collapsed="false">
      <c r="A8" s="18" t="n">
        <v>46255</v>
      </c>
      <c r="B8" s="52"/>
      <c r="C8" s="52"/>
      <c r="D8" s="52"/>
      <c r="E8" s="52"/>
      <c r="F8" s="52"/>
      <c r="G8" s="52"/>
      <c r="H8" s="52"/>
      <c r="I8" s="52"/>
    </row>
    <row r="9" customFormat="false" ht="15" hidden="false" customHeight="true" outlineLevel="0" collapsed="false">
      <c r="A9" s="18" t="n">
        <v>46262</v>
      </c>
      <c r="B9" s="52"/>
      <c r="C9" s="52"/>
      <c r="D9" s="52"/>
      <c r="E9" s="52"/>
      <c r="F9" s="52"/>
      <c r="G9" s="52"/>
      <c r="H9" s="52"/>
      <c r="I9" s="52"/>
    </row>
    <row r="10" customFormat="false" ht="15" hidden="false" customHeight="true" outlineLevel="0" collapsed="false">
      <c r="A10" s="18" t="n">
        <v>46269</v>
      </c>
      <c r="B10" s="52"/>
      <c r="C10" s="52"/>
      <c r="D10" s="52"/>
      <c r="E10" s="52"/>
      <c r="F10" s="52"/>
      <c r="G10" s="52"/>
      <c r="H10" s="52"/>
      <c r="I10" s="52"/>
    </row>
    <row r="11" customFormat="false" ht="15" hidden="false" customHeight="true" outlineLevel="0" collapsed="false">
      <c r="A11" s="18" t="n">
        <v>46276</v>
      </c>
      <c r="B11" s="52"/>
      <c r="C11" s="52"/>
      <c r="D11" s="52"/>
      <c r="E11" s="52"/>
      <c r="F11" s="52"/>
      <c r="G11" s="52"/>
      <c r="H11" s="52"/>
      <c r="I11" s="52"/>
    </row>
    <row r="12" customFormat="false" ht="15" hidden="false" customHeight="true" outlineLevel="0" collapsed="false">
      <c r="A12" s="18" t="n">
        <v>46283</v>
      </c>
      <c r="B12" s="52"/>
      <c r="C12" s="52"/>
      <c r="D12" s="52"/>
      <c r="E12" s="52"/>
      <c r="F12" s="52"/>
      <c r="G12" s="52"/>
      <c r="H12" s="52"/>
      <c r="I12" s="52"/>
    </row>
    <row r="13" customFormat="false" ht="15" hidden="false" customHeight="true" outlineLevel="0" collapsed="false">
      <c r="A13" s="18" t="n">
        <v>46290</v>
      </c>
      <c r="B13" s="52"/>
      <c r="C13" s="52"/>
      <c r="D13" s="52"/>
      <c r="E13" s="52"/>
      <c r="F13" s="52"/>
      <c r="G13" s="52"/>
      <c r="H13" s="52"/>
      <c r="I13" s="52"/>
    </row>
    <row r="14" customFormat="false" ht="15" hidden="false" customHeight="true" outlineLevel="0" collapsed="false">
      <c r="A14" s="18" t="n">
        <v>46297</v>
      </c>
      <c r="B14" s="52"/>
      <c r="C14" s="52"/>
      <c r="D14" s="52"/>
      <c r="E14" s="52"/>
      <c r="F14" s="52"/>
      <c r="G14" s="52"/>
      <c r="H14" s="52"/>
      <c r="I14" s="52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15" hidden="false" customHeight="true" outlineLevel="0" collapsed="false">
      <c r="A1" s="49" t="s">
        <v>138</v>
      </c>
      <c r="B1" s="49"/>
      <c r="C1" s="49"/>
      <c r="D1" s="49"/>
    </row>
    <row r="2" customFormat="false" ht="27.75" hidden="false" customHeight="true" outlineLevel="0" collapsed="false">
      <c r="A2" s="13" t="s">
        <v>98</v>
      </c>
      <c r="B2" s="13" t="s">
        <v>139</v>
      </c>
      <c r="C2" s="13" t="s">
        <v>140</v>
      </c>
      <c r="D2" s="13" t="s">
        <v>141</v>
      </c>
    </row>
    <row r="3" customFormat="false" ht="15" hidden="false" customHeight="true" outlineLevel="0" collapsed="false">
      <c r="A3" s="52"/>
      <c r="B3" s="52"/>
      <c r="C3" s="52"/>
      <c r="D3" s="52"/>
    </row>
    <row r="4" customFormat="false" ht="15" hidden="false" customHeight="true" outlineLevel="0" collapsed="false">
      <c r="A4" s="52"/>
      <c r="B4" s="52"/>
      <c r="C4" s="52"/>
      <c r="D4" s="52"/>
    </row>
    <row r="5" customFormat="false" ht="15" hidden="false" customHeight="true" outlineLevel="0" collapsed="false">
      <c r="A5" s="52"/>
      <c r="B5" s="52"/>
      <c r="C5" s="52"/>
      <c r="D5" s="52"/>
    </row>
    <row r="6" customFormat="false" ht="15" hidden="false" customHeight="true" outlineLevel="0" collapsed="false">
      <c r="A6" s="52"/>
      <c r="B6" s="52"/>
      <c r="C6" s="52"/>
      <c r="D6" s="52"/>
    </row>
    <row r="7" customFormat="false" ht="15" hidden="false" customHeight="true" outlineLevel="0" collapsed="false">
      <c r="A7" s="52"/>
      <c r="B7" s="52"/>
      <c r="C7" s="52"/>
      <c r="D7" s="52"/>
    </row>
    <row r="8" customFormat="false" ht="15" hidden="false" customHeight="true" outlineLevel="0" collapsed="false">
      <c r="A8" s="52"/>
      <c r="B8" s="52"/>
      <c r="C8" s="52"/>
      <c r="D8" s="52"/>
    </row>
    <row r="9" customFormat="false" ht="15" hidden="false" customHeight="true" outlineLevel="0" collapsed="false">
      <c r="A9" s="52"/>
      <c r="B9" s="52"/>
      <c r="C9" s="52"/>
      <c r="D9" s="52"/>
    </row>
    <row r="10" customFormat="false" ht="15" hidden="false" customHeight="true" outlineLevel="0" collapsed="false">
      <c r="A10" s="52"/>
      <c r="B10" s="52"/>
      <c r="C10" s="52"/>
      <c r="D10" s="52"/>
    </row>
    <row r="11" customFormat="false" ht="15" hidden="false" customHeight="true" outlineLevel="0" collapsed="false">
      <c r="A11" s="52"/>
      <c r="B11" s="52"/>
      <c r="C11" s="52"/>
      <c r="D11" s="52"/>
    </row>
    <row r="12" customFormat="false" ht="15" hidden="false" customHeight="true" outlineLevel="0" collapsed="false">
      <c r="A12" s="52"/>
      <c r="B12" s="52"/>
      <c r="C12" s="52"/>
      <c r="D12" s="52"/>
    </row>
    <row r="13" customFormat="false" ht="15" hidden="false" customHeight="true" outlineLevel="0" collapsed="false">
      <c r="A13" s="52"/>
      <c r="B13" s="52"/>
      <c r="C13" s="52"/>
      <c r="D13" s="52"/>
    </row>
    <row r="14" customFormat="false" ht="15" hidden="false" customHeight="true" outlineLevel="0" collapsed="false">
      <c r="A14" s="52"/>
      <c r="B14" s="52"/>
      <c r="C14" s="52"/>
      <c r="D14" s="5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40"/>
  </cols>
  <sheetData>
    <row r="1" customFormat="false" ht="15.75" hidden="false" customHeight="true" outlineLevel="0" collapsed="false">
      <c r="A1" s="19" t="s">
        <v>142</v>
      </c>
      <c r="B1" s="19"/>
      <c r="C1" s="19"/>
    </row>
    <row r="2" customFormat="false" ht="15" hidden="false" customHeight="true" outlineLevel="0" collapsed="false">
      <c r="A2" s="13" t="s">
        <v>143</v>
      </c>
      <c r="B2" s="13" t="s">
        <v>144</v>
      </c>
      <c r="C2" s="13" t="s">
        <v>145</v>
      </c>
    </row>
    <row r="3" customFormat="false" ht="15" hidden="false" customHeight="true" outlineLevel="0" collapsed="false">
      <c r="A3" s="21" t="s">
        <v>143</v>
      </c>
      <c r="B3" s="21" t="s">
        <v>144</v>
      </c>
      <c r="C3" s="21" t="s">
        <v>145</v>
      </c>
    </row>
    <row r="4" customFormat="false" ht="15" hidden="false" customHeight="true" outlineLevel="0" collapsed="false">
      <c r="A4" s="24" t="s">
        <v>146</v>
      </c>
      <c r="B4" s="24" t="s">
        <v>147</v>
      </c>
      <c r="C4" s="24"/>
    </row>
    <row r="5" customFormat="false" ht="15" hidden="false" customHeight="true" outlineLevel="0" collapsed="false">
      <c r="A5" s="21" t="s">
        <v>148</v>
      </c>
      <c r="B5" s="21" t="s">
        <v>149</v>
      </c>
      <c r="C5" s="21"/>
    </row>
    <row r="6" customFormat="false" ht="15" hidden="false" customHeight="true" outlineLevel="0" collapsed="false">
      <c r="A6" s="24" t="s">
        <v>150</v>
      </c>
      <c r="B6" s="24" t="s">
        <v>151</v>
      </c>
      <c r="C6" s="24"/>
    </row>
    <row r="7" customFormat="false" ht="15" hidden="false" customHeight="true" outlineLevel="0" collapsed="false">
      <c r="A7" s="21" t="s">
        <v>152</v>
      </c>
      <c r="B7" s="21" t="s">
        <v>153</v>
      </c>
      <c r="C7" s="21" t="s">
        <v>154</v>
      </c>
    </row>
    <row r="8" customFormat="false" ht="15" hidden="false" customHeight="true" outlineLevel="0" collapsed="false">
      <c r="A8" s="24" t="s">
        <v>155</v>
      </c>
      <c r="B8" s="24" t="s">
        <v>156</v>
      </c>
      <c r="C8" s="24" t="s">
        <v>157</v>
      </c>
    </row>
    <row r="9" customFormat="false" ht="15" hidden="false" customHeight="true" outlineLevel="0" collapsed="false">
      <c r="A9" s="21" t="s">
        <v>158</v>
      </c>
      <c r="B9" s="21" t="s">
        <v>159</v>
      </c>
      <c r="C9" s="21" t="s">
        <v>160</v>
      </c>
    </row>
    <row r="10" customFormat="false" ht="15" hidden="false" customHeight="true" outlineLevel="0" collapsed="false">
      <c r="A10" s="24" t="s">
        <v>161</v>
      </c>
      <c r="B10" s="24" t="s">
        <v>162</v>
      </c>
      <c r="C10" s="24" t="s">
        <v>163</v>
      </c>
    </row>
    <row r="11" customFormat="false" ht="15" hidden="false" customHeight="true" outlineLevel="0" collapsed="false">
      <c r="A11" s="21" t="s">
        <v>164</v>
      </c>
      <c r="B11" s="21" t="s">
        <v>165</v>
      </c>
      <c r="C11" s="21" t="s">
        <v>166</v>
      </c>
    </row>
    <row r="12" customFormat="false" ht="15" hidden="false" customHeight="true" outlineLevel="0" collapsed="false">
      <c r="A12" s="24" t="s">
        <v>167</v>
      </c>
      <c r="B12" s="24" t="s">
        <v>168</v>
      </c>
      <c r="C12" s="24" t="s">
        <v>169</v>
      </c>
    </row>
    <row r="13" customFormat="false" ht="15" hidden="false" customHeight="true" outlineLevel="0" collapsed="false">
      <c r="A13" s="21" t="s">
        <v>170</v>
      </c>
      <c r="B13" s="21" t="s">
        <v>171</v>
      </c>
      <c r="C13" s="21" t="s">
        <v>172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7" min="2" style="1" width="15"/>
  </cols>
  <sheetData>
    <row r="1" customFormat="false" ht="15.75" hidden="false" customHeight="true" outlineLevel="0" collapsed="false">
      <c r="A1" s="19" t="s">
        <v>173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3" customFormat="false" ht="27.75" hidden="false" customHeight="true" outlineLevel="0" collapsed="false">
      <c r="A3" s="13" t="s">
        <v>74</v>
      </c>
      <c r="B3" s="13" t="s">
        <v>25</v>
      </c>
      <c r="C3" s="13" t="s">
        <v>28</v>
      </c>
      <c r="D3" s="13" t="s">
        <v>174</v>
      </c>
      <c r="E3" s="13" t="s">
        <v>175</v>
      </c>
      <c r="F3" s="13" t="s">
        <v>26</v>
      </c>
      <c r="G3" s="13" t="s">
        <v>29</v>
      </c>
      <c r="H3" s="13" t="s">
        <v>176</v>
      </c>
      <c r="I3" s="13" t="s">
        <v>177</v>
      </c>
      <c r="J3" s="13" t="s">
        <v>31</v>
      </c>
      <c r="K3" s="13" t="s">
        <v>178</v>
      </c>
      <c r="L3" s="13" t="s">
        <v>179</v>
      </c>
      <c r="M3" s="13" t="s">
        <v>32</v>
      </c>
      <c r="N3" s="13" t="s">
        <v>34</v>
      </c>
      <c r="O3" s="13" t="s">
        <v>80</v>
      </c>
      <c r="P3" s="13" t="s">
        <v>36</v>
      </c>
      <c r="Q3" s="13" t="s">
        <v>180</v>
      </c>
    </row>
    <row r="4" customFormat="false" ht="15" hidden="false" customHeight="true" outlineLevel="0" collapsed="false">
      <c r="A4" s="21" t="s">
        <v>181</v>
      </c>
      <c r="B4" s="21" t="n">
        <f aca="false">SUMIFS(Facebook!$F:$F,Facebook!$A:$A,"&gt;="&amp;DATE(2025,1,1),Facebook!$A:$A,"&lt;="&amp;DATE(2025,1,31))</f>
        <v>12099</v>
      </c>
      <c r="C4" s="21" t="n">
        <f aca="false">SUMIFS(Facebook!$E:$E,Facebook!$A:$A,"&gt;="&amp;DATE(2025,1,1),Facebook!$A:$A,"&lt;="&amp;DATE(2025,1,31))</f>
        <v>2008</v>
      </c>
      <c r="D4" s="21" t="n">
        <f aca="false">SUMIFS(Facebook!$H:$H,Facebook!$A:$A,"&gt;="&amp;DATE(2025,1,1),Facebook!$A:$A,"&lt;="&amp;DATE(2025,1,31))</f>
        <v>0</v>
      </c>
      <c r="E4" s="21" t="n">
        <f aca="false">SUMIFS(Facebook!$I:$I,Facebook!$A:$A,"&gt;="&amp;DATE(2025,1,1),Facebook!$A:$A,"&lt;="&amp;DATE(2025,1,31))</f>
        <v>0</v>
      </c>
      <c r="F4" s="21" t="n">
        <f aca="false">SUMIFS(Instagram!$F:$F,Instagram!$A:$A,"&gt;="&amp;DATE(2025,1,1),Instagram!$A:$A,"&lt;="&amp;DATE(2025,1,31))</f>
        <v>101015</v>
      </c>
      <c r="G4" s="21" t="n">
        <f aca="false">SUMIFS(Instagram!$E:$E,Instagram!$A:$A,"&gt;="&amp;DATE(2025,1,1),Instagram!$A:$A,"&lt;="&amp;DATE(2025,1,31))</f>
        <v>171</v>
      </c>
      <c r="H4" s="21" t="n">
        <f aca="false">SUMIFS(Instagram!$H:$H,Instagram!$A:$A,"&gt;="&amp;DATE(2025,1,1),Instagram!$A:$A,"&lt;="&amp;DATE(2025,1,31))</f>
        <v>367</v>
      </c>
      <c r="I4" s="21" t="n">
        <f aca="false">SUMIFS(Instagram!$I:$I,Instagram!$A:$A,"&gt;="&amp;DATE(2025,1,1),Instagram!$A:$A,"&lt;="&amp;DATE(2025,1,31))</f>
        <v>0</v>
      </c>
      <c r="J4" s="21" t="n">
        <f aca="false">SUMIFS(Website!$B:$B,Website!$A:$A,"&gt;="&amp;DATE(2025,1,1),Website!$A:$A,"&lt;="&amp;DATE(2025,1,31))</f>
        <v>980</v>
      </c>
      <c r="K4" s="21" t="n">
        <f aca="false">SUMIFS(Website!$C:$C,Website!$A:$A,"&gt;="&amp;DATE(2025,1,1),Website!$A:$A,"&lt;="&amp;DATE(2025,1,31))</f>
        <v>2748</v>
      </c>
      <c r="L4" s="21" t="n">
        <f aca="false">SUMIFS(Website!$F:$F,Website!$A:$A,"&gt;="&amp;DATE(2025,1,1),Website!$A:$A,"&lt;="&amp;DATE(2025,1,31))</f>
        <v>0</v>
      </c>
      <c r="M4" s="21" t="n">
        <f aca="false">SUMIFS(Airbnb!$C:$C,Airbnb!$A:$A,"&gt;="&amp;DATE(2025,1,1),Airbnb!$A:$A,"&lt;="&amp;DATE(2025,1,31))</f>
        <v>56</v>
      </c>
      <c r="N4" s="21" t="n">
        <f aca="false">SUMIFS(Airbnb!$D:$D,Airbnb!$A:$A,"&gt;="&amp;DATE(2025,1,1),Airbnb!$A:$A,"&lt;="&amp;DATE(2025,1,31))</f>
        <v>0</v>
      </c>
      <c r="O4" s="21" t="n">
        <f aca="false">SUMIFS(Airbnb!$E:$E,Airbnb!$A:$A,"&gt;="&amp;DATE(2025,1,1),Airbnb!$A:$A,"&lt;="&amp;DATE(2025,1,31))</f>
        <v>0</v>
      </c>
      <c r="P4" s="22" t="n">
        <f aca="false">SUMIFS(Airbnb!$G:$G,Airbnb!$A:$A,"&gt;="&amp;DATE(2025,1,1),Airbnb!$A:$A,"&lt;="&amp;DATE(2025,1,31))</f>
        <v>0</v>
      </c>
      <c r="Q4" s="53" t="n">
        <f aca="false">IFERROR(AVERAGEIFS(Airbnb!$H:$H,Airbnb!$A:$A,"&gt;="&amp;DATE(2025,1,1),Airbnb!$A:$A,"&lt;="&amp;DATE(2025,1,31)),0)</f>
        <v>0</v>
      </c>
    </row>
    <row r="5" customFormat="false" ht="15" hidden="false" customHeight="true" outlineLevel="0" collapsed="false">
      <c r="A5" s="24" t="s">
        <v>182</v>
      </c>
      <c r="B5" s="24" t="n">
        <f aca="false">SUMIFS(Facebook!$F:$F,Facebook!$A:$A,"&gt;="&amp;DATE(2025,2,1),Facebook!$A:$A,"&lt;="&amp;DATE(2025,2,28))</f>
        <v>283</v>
      </c>
      <c r="C5" s="24" t="n">
        <f aca="false">SUMIFS(Facebook!$E:$E,Facebook!$A:$A,"&gt;="&amp;DATE(2025,2,1),Facebook!$A:$A,"&lt;="&amp;DATE(2025,2,28))</f>
        <v>12</v>
      </c>
      <c r="D5" s="24" t="n">
        <f aca="false">SUMIFS(Facebook!$H:$H,Facebook!$A:$A,"&gt;="&amp;DATE(2025,2,1),Facebook!$A:$A,"&lt;="&amp;DATE(2025,2,28))</f>
        <v>0</v>
      </c>
      <c r="E5" s="24" t="n">
        <f aca="false">SUMIFS(Facebook!$I:$I,Facebook!$A:$A,"&gt;="&amp;DATE(2025,2,1),Facebook!$A:$A,"&lt;="&amp;DATE(2025,2,28))</f>
        <v>0</v>
      </c>
      <c r="F5" s="24" t="n">
        <f aca="false">SUMIFS(Instagram!$F:$F,Instagram!$A:$A,"&gt;="&amp;DATE(2025,2,1),Instagram!$A:$A,"&lt;="&amp;DATE(2025,2,28))</f>
        <v>628</v>
      </c>
      <c r="G5" s="24" t="n">
        <f aca="false">SUMIFS(Instagram!$E:$E,Instagram!$A:$A,"&gt;="&amp;DATE(2025,2,1),Instagram!$A:$A,"&lt;="&amp;DATE(2025,2,28))</f>
        <v>6</v>
      </c>
      <c r="H5" s="24" t="n">
        <f aca="false">SUMIFS(Instagram!$H:$H,Instagram!$A:$A,"&gt;="&amp;DATE(2025,2,1),Instagram!$A:$A,"&lt;="&amp;DATE(2025,2,28))</f>
        <v>41</v>
      </c>
      <c r="I5" s="24" t="n">
        <f aca="false">SUMIFS(Instagram!$I:$I,Instagram!$A:$A,"&gt;="&amp;DATE(2025,2,1),Instagram!$A:$A,"&lt;="&amp;DATE(2025,2,28))</f>
        <v>0</v>
      </c>
      <c r="J5" s="24" t="n">
        <f aca="false">SUMIFS(Website!$B:$B,Website!$A:$A,"&gt;="&amp;DATE(2025,2,1),Website!$A:$A,"&lt;="&amp;DATE(2025,2,28))</f>
        <v>1480</v>
      </c>
      <c r="K5" s="24" t="n">
        <f aca="false">SUMIFS(Website!$C:$C,Website!$A:$A,"&gt;="&amp;DATE(2025,2,1),Website!$A:$A,"&lt;="&amp;DATE(2025,2,28))</f>
        <v>4162</v>
      </c>
      <c r="L5" s="24" t="n">
        <f aca="false">SUMIFS(Website!$F:$F,Website!$A:$A,"&gt;="&amp;DATE(2025,2,1),Website!$A:$A,"&lt;="&amp;DATE(2025,2,28))</f>
        <v>0</v>
      </c>
      <c r="M5" s="24" t="n">
        <f aca="false">SUMIFS(Airbnb!$C:$C,Airbnb!$A:$A,"&gt;="&amp;DATE(2025,2,1),Airbnb!$A:$A,"&lt;="&amp;DATE(2025,2,28))</f>
        <v>36</v>
      </c>
      <c r="N5" s="24" t="n">
        <f aca="false">SUMIFS(Airbnb!$D:$D,Airbnb!$A:$A,"&gt;="&amp;DATE(2025,2,1),Airbnb!$A:$A,"&lt;="&amp;DATE(2025,2,28))</f>
        <v>1</v>
      </c>
      <c r="O5" s="24" t="n">
        <f aca="false">SUMIFS(Airbnb!$E:$E,Airbnb!$A:$A,"&gt;="&amp;DATE(2025,2,1),Airbnb!$A:$A,"&lt;="&amp;DATE(2025,2,28))</f>
        <v>0</v>
      </c>
      <c r="P5" s="25" t="n">
        <f aca="false">SUMIFS(Airbnb!$G:$G,Airbnb!$A:$A,"&gt;="&amp;DATE(2025,2,1),Airbnb!$A:$A,"&lt;="&amp;DATE(2025,2,28))</f>
        <v>0</v>
      </c>
      <c r="Q5" s="54" t="n">
        <f aca="false">IFERROR(AVERAGEIFS(Airbnb!$H:$H,Airbnb!$A:$A,"&gt;="&amp;DATE(2025,2,1),Airbnb!$A:$A,"&lt;="&amp;DATE(2025,2,28)),0)</f>
        <v>0</v>
      </c>
    </row>
    <row r="6" customFormat="false" ht="15" hidden="false" customHeight="true" outlineLevel="0" collapsed="false">
      <c r="A6" s="21" t="s">
        <v>183</v>
      </c>
      <c r="B6" s="21" t="n">
        <f aca="false">SUMIFS(Facebook!$F:$F,Facebook!$A:$A,"&gt;="&amp;DATE(2025,3,1),Facebook!$A:$A,"&lt;="&amp;DATE(2025,3,31))</f>
        <v>2562</v>
      </c>
      <c r="C6" s="21" t="n">
        <f aca="false">SUMIFS(Facebook!$E:$E,Facebook!$A:$A,"&gt;="&amp;DATE(2025,3,1),Facebook!$A:$A,"&lt;="&amp;DATE(2025,3,31))</f>
        <v>31</v>
      </c>
      <c r="D6" s="21" t="n">
        <f aca="false">SUMIFS(Facebook!$H:$H,Facebook!$A:$A,"&gt;="&amp;DATE(2025,3,1),Facebook!$A:$A,"&lt;="&amp;DATE(2025,3,31))</f>
        <v>0</v>
      </c>
      <c r="E6" s="21" t="n">
        <f aca="false">SUMIFS(Facebook!$I:$I,Facebook!$A:$A,"&gt;="&amp;DATE(2025,3,1),Facebook!$A:$A,"&lt;="&amp;DATE(2025,3,31))</f>
        <v>0</v>
      </c>
      <c r="F6" s="21" t="n">
        <f aca="false">SUMIFS(Instagram!$F:$F,Instagram!$A:$A,"&gt;="&amp;DATE(2025,3,1),Instagram!$A:$A,"&lt;="&amp;DATE(2025,3,31))</f>
        <v>647</v>
      </c>
      <c r="G6" s="21" t="n">
        <f aca="false">SUMIFS(Instagram!$E:$E,Instagram!$A:$A,"&gt;="&amp;DATE(2025,3,1),Instagram!$A:$A,"&lt;="&amp;DATE(2025,3,31))</f>
        <v>38</v>
      </c>
      <c r="H6" s="21" t="n">
        <f aca="false">SUMIFS(Instagram!$H:$H,Instagram!$A:$A,"&gt;="&amp;DATE(2025,3,1),Instagram!$A:$A,"&lt;="&amp;DATE(2025,3,31))</f>
        <v>7</v>
      </c>
      <c r="I6" s="21" t="n">
        <f aca="false">SUMIFS(Instagram!$I:$I,Instagram!$A:$A,"&gt;="&amp;DATE(2025,3,1),Instagram!$A:$A,"&lt;="&amp;DATE(2025,3,31))</f>
        <v>0</v>
      </c>
      <c r="J6" s="21" t="n">
        <f aca="false">SUMIFS(Website!$B:$B,Website!$A:$A,"&gt;="&amp;DATE(2025,3,1),Website!$A:$A,"&lt;="&amp;DATE(2025,3,31))</f>
        <v>2453</v>
      </c>
      <c r="K6" s="21" t="n">
        <f aca="false">SUMIFS(Website!$C:$C,Website!$A:$A,"&gt;="&amp;DATE(2025,3,1),Website!$A:$A,"&lt;="&amp;DATE(2025,3,31))</f>
        <v>6931</v>
      </c>
      <c r="L6" s="21" t="n">
        <f aca="false">SUMIFS(Website!$F:$F,Website!$A:$A,"&gt;="&amp;DATE(2025,3,1),Website!$A:$A,"&lt;="&amp;DATE(2025,3,31))</f>
        <v>0</v>
      </c>
      <c r="M6" s="21" t="n">
        <f aca="false">SUMIFS(Airbnb!$C:$C,Airbnb!$A:$A,"&gt;="&amp;DATE(2025,3,1),Airbnb!$A:$A,"&lt;="&amp;DATE(2025,3,31))</f>
        <v>31</v>
      </c>
      <c r="N6" s="21" t="n">
        <f aca="false">SUMIFS(Airbnb!$D:$D,Airbnb!$A:$A,"&gt;="&amp;DATE(2025,3,1),Airbnb!$A:$A,"&lt;="&amp;DATE(2025,3,31))</f>
        <v>0</v>
      </c>
      <c r="O6" s="21" t="n">
        <f aca="false">SUMIFS(Airbnb!$E:$E,Airbnb!$A:$A,"&gt;="&amp;DATE(2025,3,1),Airbnb!$A:$A,"&lt;="&amp;DATE(2025,3,31))</f>
        <v>1</v>
      </c>
      <c r="P6" s="22" t="n">
        <f aca="false">SUMIFS(Airbnb!$G:$G,Airbnb!$A:$A,"&gt;="&amp;DATE(2025,3,1),Airbnb!$A:$A,"&lt;="&amp;DATE(2025,3,31))</f>
        <v>200</v>
      </c>
      <c r="Q6" s="53" t="n">
        <f aca="false">IFERROR(AVERAGEIFS(Airbnb!$H:$H,Airbnb!$A:$A,"&gt;="&amp;DATE(2025,3,1),Airbnb!$A:$A,"&lt;="&amp;DATE(2025,3,31)),0)</f>
        <v>0.25</v>
      </c>
    </row>
    <row r="7" customFormat="false" ht="15" hidden="false" customHeight="true" outlineLevel="0" collapsed="false">
      <c r="A7" s="24" t="s">
        <v>184</v>
      </c>
      <c r="B7" s="24" t="n">
        <f aca="false">SUMIFS(Facebook!$F:$F,Facebook!$A:$A,"&gt;="&amp;DATE(2025,4,1),Facebook!$A:$A,"&lt;="&amp;DATE(2025,4,30))</f>
        <v>3542</v>
      </c>
      <c r="C7" s="24" t="n">
        <f aca="false">SUMIFS(Facebook!$E:$E,Facebook!$A:$A,"&gt;="&amp;DATE(2025,4,1),Facebook!$A:$A,"&lt;="&amp;DATE(2025,4,30))</f>
        <v>254</v>
      </c>
      <c r="D7" s="24" t="n">
        <f aca="false">SUMIFS(Facebook!$H:$H,Facebook!$A:$A,"&gt;="&amp;DATE(2025,4,1),Facebook!$A:$A,"&lt;="&amp;DATE(2025,4,30))</f>
        <v>0</v>
      </c>
      <c r="E7" s="24" t="n">
        <f aca="false">SUMIFS(Facebook!$I:$I,Facebook!$A:$A,"&gt;="&amp;DATE(2025,4,1),Facebook!$A:$A,"&lt;="&amp;DATE(2025,4,30))</f>
        <v>0</v>
      </c>
      <c r="F7" s="24" t="n">
        <f aca="false">SUMIFS(Instagram!$F:$F,Instagram!$A:$A,"&gt;="&amp;DATE(2025,4,1),Instagram!$A:$A,"&lt;="&amp;DATE(2025,4,30))</f>
        <v>594</v>
      </c>
      <c r="G7" s="24" t="n">
        <f aca="false">SUMIFS(Instagram!$E:$E,Instagram!$A:$A,"&gt;="&amp;DATE(2025,4,1),Instagram!$A:$A,"&lt;="&amp;DATE(2025,4,30))</f>
        <v>231</v>
      </c>
      <c r="H7" s="24" t="n">
        <f aca="false">SUMIFS(Instagram!$H:$H,Instagram!$A:$A,"&gt;="&amp;DATE(2025,4,1),Instagram!$A:$A,"&lt;="&amp;DATE(2025,4,30))</f>
        <v>7</v>
      </c>
      <c r="I7" s="24" t="n">
        <f aca="false">SUMIFS(Instagram!$I:$I,Instagram!$A:$A,"&gt;="&amp;DATE(2025,4,1),Instagram!$A:$A,"&lt;="&amp;DATE(2025,4,30))</f>
        <v>1</v>
      </c>
      <c r="J7" s="24" t="n">
        <f aca="false">SUMIFS(Website!$B:$B,Website!$A:$A,"&gt;="&amp;DATE(2025,4,1),Website!$A:$A,"&lt;="&amp;DATE(2025,4,30))</f>
        <v>4590</v>
      </c>
      <c r="K7" s="24" t="n">
        <f aca="false">SUMIFS(Website!$C:$C,Website!$A:$A,"&gt;="&amp;DATE(2025,4,1),Website!$A:$A,"&lt;="&amp;DATE(2025,4,30))</f>
        <v>9083</v>
      </c>
      <c r="L7" s="24" t="n">
        <f aca="false">SUMIFS(Website!$F:$F,Website!$A:$A,"&gt;="&amp;DATE(2025,4,1),Website!$A:$A,"&lt;="&amp;DATE(2025,4,30))</f>
        <v>0</v>
      </c>
      <c r="M7" s="24" t="n">
        <f aca="false">SUMIFS(Airbnb!$C:$C,Airbnb!$A:$A,"&gt;="&amp;DATE(2025,4,1),Airbnb!$A:$A,"&lt;="&amp;DATE(2025,4,30))</f>
        <v>41</v>
      </c>
      <c r="N7" s="24" t="n">
        <f aca="false">SUMIFS(Airbnb!$D:$D,Airbnb!$A:$A,"&gt;="&amp;DATE(2025,4,1),Airbnb!$A:$A,"&lt;="&amp;DATE(2025,4,30))</f>
        <v>1</v>
      </c>
      <c r="O7" s="24" t="n">
        <f aca="false">SUMIFS(Airbnb!$E:$E,Airbnb!$A:$A,"&gt;="&amp;DATE(2025,4,1),Airbnb!$A:$A,"&lt;="&amp;DATE(2025,4,30))</f>
        <v>1</v>
      </c>
      <c r="P7" s="25" t="n">
        <f aca="false">SUMIFS(Airbnb!$G:$G,Airbnb!$A:$A,"&gt;="&amp;DATE(2025,4,1),Airbnb!$A:$A,"&lt;="&amp;DATE(2025,4,30))</f>
        <v>226</v>
      </c>
      <c r="Q7" s="54" t="n">
        <f aca="false">IFERROR(AVERAGEIFS(Airbnb!$H:$H,Airbnb!$A:$A,"&gt;="&amp;DATE(2025,4,1),Airbnb!$A:$A,"&lt;="&amp;DATE(2025,4,30)),0)</f>
        <v>0.110619469025</v>
      </c>
    </row>
    <row r="8" customFormat="false" ht="15" hidden="false" customHeight="true" outlineLevel="0" collapsed="false">
      <c r="A8" s="21" t="s">
        <v>185</v>
      </c>
      <c r="B8" s="21" t="n">
        <f aca="false">SUMIFS(Facebook!$F:$F,Facebook!$A:$A,"&gt;="&amp;DATE(2025,5,1),Facebook!$A:$A,"&lt;="&amp;DATE(2025,5,31))</f>
        <v>1572</v>
      </c>
      <c r="C8" s="21" t="n">
        <f aca="false">SUMIFS(Facebook!$E:$E,Facebook!$A:$A,"&gt;="&amp;DATE(2025,5,1),Facebook!$A:$A,"&lt;="&amp;DATE(2025,5,31))</f>
        <v>74</v>
      </c>
      <c r="D8" s="21" t="n">
        <f aca="false">SUMIFS(Facebook!$H:$H,Facebook!$A:$A,"&gt;="&amp;DATE(2025,5,1),Facebook!$A:$A,"&lt;="&amp;DATE(2025,5,31))</f>
        <v>0</v>
      </c>
      <c r="E8" s="21" t="n">
        <f aca="false">SUMIFS(Facebook!$I:$I,Facebook!$A:$A,"&gt;="&amp;DATE(2025,5,1),Facebook!$A:$A,"&lt;="&amp;DATE(2025,5,31))</f>
        <v>0</v>
      </c>
      <c r="F8" s="21" t="n">
        <f aca="false">SUMIFS(Instagram!$F:$F,Instagram!$A:$A,"&gt;="&amp;DATE(2025,5,1),Instagram!$A:$A,"&lt;="&amp;DATE(2025,5,31))</f>
        <v>610</v>
      </c>
      <c r="G8" s="21" t="n">
        <f aca="false">SUMIFS(Instagram!$E:$E,Instagram!$A:$A,"&gt;="&amp;DATE(2025,5,1),Instagram!$A:$A,"&lt;="&amp;DATE(2025,5,31))</f>
        <v>37</v>
      </c>
      <c r="H8" s="21" t="n">
        <f aca="false">SUMIFS(Instagram!$H:$H,Instagram!$A:$A,"&gt;="&amp;DATE(2025,5,1),Instagram!$A:$A,"&lt;="&amp;DATE(2025,5,31))</f>
        <v>0</v>
      </c>
      <c r="I8" s="21" t="n">
        <f aca="false">SUMIFS(Instagram!$I:$I,Instagram!$A:$A,"&gt;="&amp;DATE(2025,5,1),Instagram!$A:$A,"&lt;="&amp;DATE(2025,5,31))</f>
        <v>1</v>
      </c>
      <c r="J8" s="21" t="n">
        <f aca="false">SUMIFS(Website!$B:$B,Website!$A:$A,"&gt;="&amp;DATE(2025,5,1),Website!$A:$A,"&lt;="&amp;DATE(2025,5,31))</f>
        <v>9814</v>
      </c>
      <c r="K8" s="21" t="n">
        <f aca="false">SUMIFS(Website!$C:$C,Website!$A:$A,"&gt;="&amp;DATE(2025,5,1),Website!$A:$A,"&lt;="&amp;DATE(2025,5,31))</f>
        <v>15815</v>
      </c>
      <c r="L8" s="21" t="n">
        <f aca="false">SUMIFS(Website!$F:$F,Website!$A:$A,"&gt;="&amp;DATE(2025,5,1),Website!$A:$A,"&lt;="&amp;DATE(2025,5,31))</f>
        <v>0</v>
      </c>
      <c r="M8" s="21" t="n">
        <f aca="false">SUMIFS(Airbnb!$C:$C,Airbnb!$A:$A,"&gt;="&amp;DATE(2025,5,1),Airbnb!$A:$A,"&lt;="&amp;DATE(2025,5,31))</f>
        <v>51</v>
      </c>
      <c r="N8" s="21" t="n">
        <f aca="false">SUMIFS(Airbnb!$D:$D,Airbnb!$A:$A,"&gt;="&amp;DATE(2025,5,1),Airbnb!$A:$A,"&lt;="&amp;DATE(2025,5,31))</f>
        <v>0</v>
      </c>
      <c r="O8" s="21" t="n">
        <f aca="false">SUMIFS(Airbnb!$E:$E,Airbnb!$A:$A,"&gt;="&amp;DATE(2025,5,1),Airbnb!$A:$A,"&lt;="&amp;DATE(2025,5,31))</f>
        <v>0</v>
      </c>
      <c r="P8" s="22" t="n">
        <f aca="false">SUMIFS(Airbnb!$G:$G,Airbnb!$A:$A,"&gt;="&amp;DATE(2025,5,1),Airbnb!$A:$A,"&lt;="&amp;DATE(2025,5,31))</f>
        <v>0</v>
      </c>
      <c r="Q8" s="53" t="n">
        <f aca="false">IFERROR(AVERAGEIFS(Airbnb!$H:$H,Airbnb!$A:$A,"&gt;="&amp;DATE(2025,5,1),Airbnb!$A:$A,"&lt;="&amp;DATE(2025,5,31)),0)</f>
        <v>0</v>
      </c>
    </row>
    <row r="9" customFormat="false" ht="15" hidden="false" customHeight="true" outlineLevel="0" collapsed="false">
      <c r="A9" s="24" t="s">
        <v>186</v>
      </c>
      <c r="B9" s="24" t="n">
        <f aca="false">SUMIFS(Facebook!$F:$F,Facebook!$A:$A,"&gt;="&amp;DATE(2025,6,1),Facebook!$A:$A,"&lt;="&amp;DATE(2025,6,30))</f>
        <v>195</v>
      </c>
      <c r="C9" s="24" t="n">
        <f aca="false">SUMIFS(Facebook!$E:$E,Facebook!$A:$A,"&gt;="&amp;DATE(2025,6,1),Facebook!$A:$A,"&lt;="&amp;DATE(2025,6,30))</f>
        <v>73</v>
      </c>
      <c r="D9" s="24" t="n">
        <f aca="false">SUMIFS(Facebook!$H:$H,Facebook!$A:$A,"&gt;="&amp;DATE(2025,6,1),Facebook!$A:$A,"&lt;="&amp;DATE(2025,6,30))</f>
        <v>0</v>
      </c>
      <c r="E9" s="24" t="n">
        <f aca="false">SUMIFS(Facebook!$I:$I,Facebook!$A:$A,"&gt;="&amp;DATE(2025,6,1),Facebook!$A:$A,"&lt;="&amp;DATE(2025,6,30))</f>
        <v>0</v>
      </c>
      <c r="F9" s="24" t="n">
        <f aca="false">SUMIFS(Instagram!$F:$F,Instagram!$A:$A,"&gt;="&amp;DATE(2025,6,1),Instagram!$A:$A,"&lt;="&amp;DATE(2025,6,30))</f>
        <v>327</v>
      </c>
      <c r="G9" s="24" t="n">
        <f aca="false">SUMIFS(Instagram!$E:$E,Instagram!$A:$A,"&gt;="&amp;DATE(2025,6,1),Instagram!$A:$A,"&lt;="&amp;DATE(2025,6,30))</f>
        <v>56</v>
      </c>
      <c r="H9" s="24" t="n">
        <f aca="false">SUMIFS(Instagram!$H:$H,Instagram!$A:$A,"&gt;="&amp;DATE(2025,6,1),Instagram!$A:$A,"&lt;="&amp;DATE(2025,6,30))</f>
        <v>0</v>
      </c>
      <c r="I9" s="24" t="n">
        <f aca="false">SUMIFS(Instagram!$I:$I,Instagram!$A:$A,"&gt;="&amp;DATE(2025,6,1),Instagram!$A:$A,"&lt;="&amp;DATE(2025,6,30))</f>
        <v>0</v>
      </c>
      <c r="J9" s="24" t="n">
        <f aca="false">SUMIFS(Website!$B:$B,Website!$A:$A,"&gt;="&amp;DATE(2025,6,1),Website!$A:$A,"&lt;="&amp;DATE(2025,6,30))</f>
        <v>9195</v>
      </c>
      <c r="K9" s="24" t="n">
        <f aca="false">SUMIFS(Website!$C:$C,Website!$A:$A,"&gt;="&amp;DATE(2025,6,1),Website!$A:$A,"&lt;="&amp;DATE(2025,6,30))</f>
        <v>17044</v>
      </c>
      <c r="L9" s="24" t="n">
        <f aca="false">SUMIFS(Website!$F:$F,Website!$A:$A,"&gt;="&amp;DATE(2025,6,1),Website!$A:$A,"&lt;="&amp;DATE(2025,6,30))</f>
        <v>0</v>
      </c>
      <c r="M9" s="24" t="n">
        <f aca="false">SUMIFS(Airbnb!$C:$C,Airbnb!$A:$A,"&gt;="&amp;DATE(2025,6,1),Airbnb!$A:$A,"&lt;="&amp;DATE(2025,6,30))</f>
        <v>18</v>
      </c>
      <c r="N9" s="24" t="n">
        <f aca="false">SUMIFS(Airbnb!$D:$D,Airbnb!$A:$A,"&gt;="&amp;DATE(2025,6,1),Airbnb!$A:$A,"&lt;="&amp;DATE(2025,6,30))</f>
        <v>0</v>
      </c>
      <c r="O9" s="24" t="n">
        <f aca="false">SUMIFS(Airbnb!$E:$E,Airbnb!$A:$A,"&gt;="&amp;DATE(2025,6,1),Airbnb!$A:$A,"&lt;="&amp;DATE(2025,6,30))</f>
        <v>0</v>
      </c>
      <c r="P9" s="25" t="n">
        <f aca="false">SUMIFS(Airbnb!$G:$G,Airbnb!$A:$A,"&gt;="&amp;DATE(2025,6,1),Airbnb!$A:$A,"&lt;="&amp;DATE(2025,6,30))</f>
        <v>0</v>
      </c>
      <c r="Q9" s="54" t="n">
        <f aca="false">IFERROR(AVERAGEIFS(Airbnb!$H:$H,Airbnb!$A:$A,"&gt;="&amp;DATE(2025,6,1),Airbnb!$A:$A,"&lt;="&amp;DATE(2025,6,30)),0)</f>
        <v>0</v>
      </c>
    </row>
    <row r="10" customFormat="false" ht="15" hidden="false" customHeight="true" outlineLevel="0" collapsed="false">
      <c r="A10" s="21" t="s">
        <v>187</v>
      </c>
      <c r="B10" s="21" t="n">
        <f aca="false">SUMIFS(Facebook!$F:$F,Facebook!$A:$A,"&gt;="&amp;DATE(2025,7,1),Facebook!$A:$A,"&lt;="&amp;DATE(2025,7,31))</f>
        <v>132</v>
      </c>
      <c r="C10" s="21" t="n">
        <f aca="false">SUMIFS(Facebook!$E:$E,Facebook!$A:$A,"&gt;="&amp;DATE(2025,7,1),Facebook!$A:$A,"&lt;="&amp;DATE(2025,7,31))</f>
        <v>131</v>
      </c>
      <c r="D10" s="21" t="n">
        <f aca="false">SUMIFS(Facebook!$H:$H,Facebook!$A:$A,"&gt;="&amp;DATE(2025,7,1),Facebook!$A:$A,"&lt;="&amp;DATE(2025,7,31))</f>
        <v>0</v>
      </c>
      <c r="E10" s="21" t="n">
        <f aca="false">SUMIFS(Facebook!$I:$I,Facebook!$A:$A,"&gt;="&amp;DATE(2025,7,1),Facebook!$A:$A,"&lt;="&amp;DATE(2025,7,31))</f>
        <v>0</v>
      </c>
      <c r="F10" s="21" t="n">
        <f aca="false">SUMIFS(Instagram!$F:$F,Instagram!$A:$A,"&gt;="&amp;DATE(2025,7,1),Instagram!$A:$A,"&lt;="&amp;DATE(2025,7,31))</f>
        <v>183</v>
      </c>
      <c r="G10" s="21" t="n">
        <f aca="false">SUMIFS(Instagram!$E:$E,Instagram!$A:$A,"&gt;="&amp;DATE(2025,7,1),Instagram!$A:$A,"&lt;="&amp;DATE(2025,7,31))</f>
        <v>46</v>
      </c>
      <c r="H10" s="21" t="n">
        <f aca="false">SUMIFS(Instagram!$H:$H,Instagram!$A:$A,"&gt;="&amp;DATE(2025,7,1),Instagram!$A:$A,"&lt;="&amp;DATE(2025,7,31))</f>
        <v>0</v>
      </c>
      <c r="I10" s="21" t="n">
        <f aca="false">SUMIFS(Instagram!$I:$I,Instagram!$A:$A,"&gt;="&amp;DATE(2025,7,1),Instagram!$A:$A,"&lt;="&amp;DATE(2025,7,31))</f>
        <v>0</v>
      </c>
      <c r="J10" s="21" t="n">
        <f aca="false">SUMIFS(Website!$B:$B,Website!$A:$A,"&gt;="&amp;DATE(2025,7,1),Website!$A:$A,"&lt;="&amp;DATE(2025,7,31))</f>
        <v>9622</v>
      </c>
      <c r="K10" s="21" t="n">
        <f aca="false">SUMIFS(Website!$C:$C,Website!$A:$A,"&gt;="&amp;DATE(2025,7,1),Website!$A:$A,"&lt;="&amp;DATE(2025,7,31))</f>
        <v>19378</v>
      </c>
      <c r="L10" s="21" t="n">
        <f aca="false">SUMIFS(Website!$F:$F,Website!$A:$A,"&gt;="&amp;DATE(2025,7,1),Website!$A:$A,"&lt;="&amp;DATE(2025,7,31))</f>
        <v>0</v>
      </c>
      <c r="M10" s="21" t="n">
        <f aca="false">SUMIFS(Airbnb!$C:$C,Airbnb!$A:$A,"&gt;="&amp;DATE(2025,7,1),Airbnb!$A:$A,"&lt;="&amp;DATE(2025,7,31))</f>
        <v>45</v>
      </c>
      <c r="N10" s="21" t="n">
        <f aca="false">SUMIFS(Airbnb!$D:$D,Airbnb!$A:$A,"&gt;="&amp;DATE(2025,7,1),Airbnb!$A:$A,"&lt;="&amp;DATE(2025,7,31))</f>
        <v>2</v>
      </c>
      <c r="O10" s="21" t="n">
        <f aca="false">SUMIFS(Airbnb!$E:$E,Airbnb!$A:$A,"&gt;="&amp;DATE(2025,7,1),Airbnb!$A:$A,"&lt;="&amp;DATE(2025,7,31))</f>
        <v>2</v>
      </c>
      <c r="P10" s="22" t="n">
        <f aca="false">SUMIFS(Airbnb!$G:$G,Airbnb!$A:$A,"&gt;="&amp;DATE(2025,7,1),Airbnb!$A:$A,"&lt;="&amp;DATE(2025,7,31))</f>
        <v>772</v>
      </c>
      <c r="Q10" s="53" t="n">
        <f aca="false">IFERROR(AVERAGEIFS(Airbnb!$H:$H,Airbnb!$A:$A,"&gt;="&amp;DATE(2025,7,1),Airbnb!$A:$A,"&lt;="&amp;DATE(2025,7,31)),0)</f>
        <v>0.19436364325</v>
      </c>
    </row>
    <row r="11" customFormat="false" ht="15" hidden="false" customHeight="true" outlineLevel="0" collapsed="false">
      <c r="A11" s="24" t="s">
        <v>188</v>
      </c>
      <c r="B11" s="24" t="n">
        <f aca="false">SUMIFS(Facebook!$F:$F,Facebook!$A:$A,"&gt;="&amp;DATE(2025,8,1),Facebook!$A:$A,"&lt;="&amp;DATE(2025,8,31))</f>
        <v>103</v>
      </c>
      <c r="C11" s="24" t="n">
        <f aca="false">SUMIFS(Facebook!$E:$E,Facebook!$A:$A,"&gt;="&amp;DATE(2025,8,1),Facebook!$A:$A,"&lt;="&amp;DATE(2025,8,31))</f>
        <v>139</v>
      </c>
      <c r="D11" s="24" t="n">
        <f aca="false">SUMIFS(Facebook!$H:$H,Facebook!$A:$A,"&gt;="&amp;DATE(2025,8,1),Facebook!$A:$A,"&lt;="&amp;DATE(2025,8,31))</f>
        <v>0</v>
      </c>
      <c r="E11" s="24" t="n">
        <f aca="false">SUMIFS(Facebook!$I:$I,Facebook!$A:$A,"&gt;="&amp;DATE(2025,8,1),Facebook!$A:$A,"&lt;="&amp;DATE(2025,8,31))</f>
        <v>0</v>
      </c>
      <c r="F11" s="24" t="n">
        <f aca="false">SUMIFS(Instagram!$F:$F,Instagram!$A:$A,"&gt;="&amp;DATE(2025,8,1),Instagram!$A:$A,"&lt;="&amp;DATE(2025,8,31))</f>
        <v>131</v>
      </c>
      <c r="G11" s="24" t="n">
        <f aca="false">SUMIFS(Instagram!$E:$E,Instagram!$A:$A,"&gt;="&amp;DATE(2025,8,1),Instagram!$A:$A,"&lt;="&amp;DATE(2025,8,31))</f>
        <v>305</v>
      </c>
      <c r="H11" s="24" t="n">
        <f aca="false">SUMIFS(Instagram!$H:$H,Instagram!$A:$A,"&gt;="&amp;DATE(2025,8,1),Instagram!$A:$A,"&lt;="&amp;DATE(2025,8,31))</f>
        <v>0</v>
      </c>
      <c r="I11" s="24" t="n">
        <f aca="false">SUMIFS(Instagram!$I:$I,Instagram!$A:$A,"&gt;="&amp;DATE(2025,8,1),Instagram!$A:$A,"&lt;="&amp;DATE(2025,8,31))</f>
        <v>0</v>
      </c>
      <c r="J11" s="24" t="n">
        <f aca="false">SUMIFS(Website!$B:$B,Website!$A:$A,"&gt;="&amp;DATE(2025,8,1),Website!$A:$A,"&lt;="&amp;DATE(2025,8,31))</f>
        <v>12527</v>
      </c>
      <c r="K11" s="24" t="n">
        <f aca="false">SUMIFS(Website!$C:$C,Website!$A:$A,"&gt;="&amp;DATE(2025,8,1),Website!$A:$A,"&lt;="&amp;DATE(2025,8,31))</f>
        <v>27472</v>
      </c>
      <c r="L11" s="24" t="n">
        <f aca="false">SUMIFS(Website!$F:$F,Website!$A:$A,"&gt;="&amp;DATE(2025,8,1),Website!$A:$A,"&lt;="&amp;DATE(2025,8,31))</f>
        <v>0</v>
      </c>
      <c r="M11" s="24" t="n">
        <f aca="false">SUMIFS(Airbnb!$C:$C,Airbnb!$A:$A,"&gt;="&amp;DATE(2025,8,1),Airbnb!$A:$A,"&lt;="&amp;DATE(2025,8,31))</f>
        <v>51</v>
      </c>
      <c r="N11" s="24" t="n">
        <f aca="false">SUMIFS(Airbnb!$D:$D,Airbnb!$A:$A,"&gt;="&amp;DATE(2025,8,1),Airbnb!$A:$A,"&lt;="&amp;DATE(2025,8,31))</f>
        <v>2</v>
      </c>
      <c r="O11" s="24" t="n">
        <f aca="false">SUMIFS(Airbnb!$E:$E,Airbnb!$A:$A,"&gt;="&amp;DATE(2025,8,1),Airbnb!$A:$A,"&lt;="&amp;DATE(2025,8,31))</f>
        <v>1</v>
      </c>
      <c r="P11" s="25" t="n">
        <f aca="false">SUMIFS(Airbnb!$G:$G,Airbnb!$A:$A,"&gt;="&amp;DATE(2025,8,1),Airbnb!$A:$A,"&lt;="&amp;DATE(2025,8,31))</f>
        <v>891</v>
      </c>
      <c r="Q11" s="54" t="n">
        <f aca="false">IFERROR(AVERAGEIFS(Airbnb!$H:$H,Airbnb!$A:$A,"&gt;="&amp;DATE(2025,8,1),Airbnb!$A:$A,"&lt;="&amp;DATE(2025,8,31)),0)</f>
        <v>0.06734006734</v>
      </c>
    </row>
    <row r="12" customFormat="false" ht="15" hidden="false" customHeight="true" outlineLevel="0" collapsed="false">
      <c r="A12" s="21" t="s">
        <v>189</v>
      </c>
      <c r="B12" s="21" t="n">
        <f aca="false">SUMIFS(Facebook!$F:$F,Facebook!$A:$A,"&gt;="&amp;DATE(2025,9,1),Facebook!$A:$A,"&lt;="&amp;DATE(2025,9,30))</f>
        <v>48</v>
      </c>
      <c r="C12" s="21" t="n">
        <f aca="false">SUMIFS(Facebook!$E:$E,Facebook!$A:$A,"&gt;="&amp;DATE(2025,9,1),Facebook!$A:$A,"&lt;="&amp;DATE(2025,9,30))</f>
        <v>126</v>
      </c>
      <c r="D12" s="21" t="n">
        <f aca="false">SUMIFS(Facebook!$H:$H,Facebook!$A:$A,"&gt;="&amp;DATE(2025,9,1),Facebook!$A:$A,"&lt;="&amp;DATE(2025,9,30))</f>
        <v>0</v>
      </c>
      <c r="E12" s="21" t="n">
        <f aca="false">SUMIFS(Facebook!$I:$I,Facebook!$A:$A,"&gt;="&amp;DATE(2025,9,1),Facebook!$A:$A,"&lt;="&amp;DATE(2025,9,30))</f>
        <v>0</v>
      </c>
      <c r="F12" s="21" t="n">
        <f aca="false">SUMIFS(Instagram!$F:$F,Instagram!$A:$A,"&gt;="&amp;DATE(2025,9,1),Instagram!$A:$A,"&lt;="&amp;DATE(2025,9,30))</f>
        <v>489</v>
      </c>
      <c r="G12" s="21" t="n">
        <f aca="false">SUMIFS(Instagram!$E:$E,Instagram!$A:$A,"&gt;="&amp;DATE(2025,9,1),Instagram!$A:$A,"&lt;="&amp;DATE(2025,9,30))</f>
        <v>68</v>
      </c>
      <c r="H12" s="21" t="n">
        <f aca="false">SUMIFS(Instagram!$H:$H,Instagram!$A:$A,"&gt;="&amp;DATE(2025,9,1),Instagram!$A:$A,"&lt;="&amp;DATE(2025,9,30))</f>
        <v>0</v>
      </c>
      <c r="I12" s="21" t="n">
        <f aca="false">SUMIFS(Instagram!$I:$I,Instagram!$A:$A,"&gt;="&amp;DATE(2025,9,1),Instagram!$A:$A,"&lt;="&amp;DATE(2025,9,30))</f>
        <v>0</v>
      </c>
      <c r="J12" s="21" t="n">
        <f aca="false">SUMIFS(Website!$B:$B,Website!$A:$A,"&gt;="&amp;DATE(2025,9,1),Website!$A:$A,"&lt;="&amp;DATE(2025,9,30))</f>
        <v>10244</v>
      </c>
      <c r="K12" s="21" t="n">
        <f aca="false">SUMIFS(Website!$C:$C,Website!$A:$A,"&gt;="&amp;DATE(2025,9,1),Website!$A:$A,"&lt;="&amp;DATE(2025,9,30))</f>
        <v>22498</v>
      </c>
      <c r="L12" s="21" t="n">
        <f aca="false">SUMIFS(Website!$F:$F,Website!$A:$A,"&gt;="&amp;DATE(2025,9,1),Website!$A:$A,"&lt;="&amp;DATE(2025,9,30))</f>
        <v>0</v>
      </c>
      <c r="M12" s="21" t="n">
        <f aca="false">SUMIFS(Airbnb!$C:$C,Airbnb!$A:$A,"&gt;="&amp;DATE(2025,9,1),Airbnb!$A:$A,"&lt;="&amp;DATE(2025,9,30))</f>
        <v>29</v>
      </c>
      <c r="N12" s="21" t="n">
        <f aca="false">SUMIFS(Airbnb!$D:$D,Airbnb!$A:$A,"&gt;="&amp;DATE(2025,9,1),Airbnb!$A:$A,"&lt;="&amp;DATE(2025,9,30))</f>
        <v>1</v>
      </c>
      <c r="O12" s="21" t="n">
        <f aca="false">SUMIFS(Airbnb!$E:$E,Airbnb!$A:$A,"&gt;="&amp;DATE(2025,9,1),Airbnb!$A:$A,"&lt;="&amp;DATE(2025,9,30))</f>
        <v>0</v>
      </c>
      <c r="P12" s="22" t="n">
        <f aca="false">SUMIFS(Airbnb!$G:$G,Airbnb!$A:$A,"&gt;="&amp;DATE(2025,9,1),Airbnb!$A:$A,"&lt;="&amp;DATE(2025,9,30))</f>
        <v>0</v>
      </c>
      <c r="Q12" s="53" t="n">
        <f aca="false">IFERROR(AVERAGEIFS(Airbnb!$H:$H,Airbnb!$A:$A,"&gt;="&amp;DATE(2025,9,1),Airbnb!$A:$A,"&lt;="&amp;DATE(2025,9,30)),0)</f>
        <v>0</v>
      </c>
    </row>
    <row r="13" customFormat="false" ht="15" hidden="false" customHeight="true" outlineLevel="0" collapsed="false">
      <c r="A13" s="24" t="s">
        <v>190</v>
      </c>
      <c r="B13" s="24" t="n">
        <f aca="false">SUMIFS(Facebook!$F:$F,Facebook!$A:$A,"&gt;="&amp;DATE(2025,10,1),Facebook!$A:$A,"&lt;="&amp;DATE(2025,10,31))</f>
        <v>226</v>
      </c>
      <c r="C13" s="24" t="n">
        <f aca="false">SUMIFS(Facebook!$E:$E,Facebook!$A:$A,"&gt;="&amp;DATE(2025,10,1),Facebook!$A:$A,"&lt;="&amp;DATE(2025,10,31))</f>
        <v>55</v>
      </c>
      <c r="D13" s="24" t="n">
        <f aca="false">SUMIFS(Facebook!$H:$H,Facebook!$A:$A,"&gt;="&amp;DATE(2025,10,1),Facebook!$A:$A,"&lt;="&amp;DATE(2025,10,31))</f>
        <v>0</v>
      </c>
      <c r="E13" s="24" t="n">
        <f aca="false">SUMIFS(Facebook!$I:$I,Facebook!$A:$A,"&gt;="&amp;DATE(2025,10,1),Facebook!$A:$A,"&lt;="&amp;DATE(2025,10,31))</f>
        <v>0</v>
      </c>
      <c r="F13" s="24" t="n">
        <f aca="false">SUMIFS(Instagram!$F:$F,Instagram!$A:$A,"&gt;="&amp;DATE(2025,10,1),Instagram!$A:$A,"&lt;="&amp;DATE(2025,10,31))</f>
        <v>643</v>
      </c>
      <c r="G13" s="24" t="n">
        <f aca="false">SUMIFS(Instagram!$E:$E,Instagram!$A:$A,"&gt;="&amp;DATE(2025,10,1),Instagram!$A:$A,"&lt;="&amp;DATE(2025,10,31))</f>
        <v>65</v>
      </c>
      <c r="H13" s="24" t="n">
        <f aca="false">SUMIFS(Instagram!$H:$H,Instagram!$A:$A,"&gt;="&amp;DATE(2025,10,1),Instagram!$A:$A,"&lt;="&amp;DATE(2025,10,31))</f>
        <v>0</v>
      </c>
      <c r="I13" s="24" t="n">
        <f aca="false">SUMIFS(Instagram!$I:$I,Instagram!$A:$A,"&gt;="&amp;DATE(2025,10,1),Instagram!$A:$A,"&lt;="&amp;DATE(2025,10,31))</f>
        <v>0</v>
      </c>
      <c r="J13" s="24" t="n">
        <f aca="false">SUMIFS(Website!$B:$B,Website!$A:$A,"&gt;="&amp;DATE(2025,10,1),Website!$A:$A,"&lt;="&amp;DATE(2025,10,31))</f>
        <v>13080</v>
      </c>
      <c r="K13" s="24" t="n">
        <f aca="false">SUMIFS(Website!$C:$C,Website!$A:$A,"&gt;="&amp;DATE(2025,10,1),Website!$A:$A,"&lt;="&amp;DATE(2025,10,31))</f>
        <v>28617</v>
      </c>
      <c r="L13" s="24" t="n">
        <f aca="false">SUMIFS(Website!$F:$F,Website!$A:$A,"&gt;="&amp;DATE(2025,10,1),Website!$A:$A,"&lt;="&amp;DATE(2025,10,31))</f>
        <v>0</v>
      </c>
      <c r="M13" s="24" t="n">
        <f aca="false">SUMIFS(Airbnb!$C:$C,Airbnb!$A:$A,"&gt;="&amp;DATE(2025,10,1),Airbnb!$A:$A,"&lt;="&amp;DATE(2025,10,31))</f>
        <v>37</v>
      </c>
      <c r="N13" s="24" t="n">
        <f aca="false">SUMIFS(Airbnb!$D:$D,Airbnb!$A:$A,"&gt;="&amp;DATE(2025,10,1),Airbnb!$A:$A,"&lt;="&amp;DATE(2025,10,31))</f>
        <v>1</v>
      </c>
      <c r="O13" s="24" t="n">
        <f aca="false">SUMIFS(Airbnb!$E:$E,Airbnb!$A:$A,"&gt;="&amp;DATE(2025,10,1),Airbnb!$A:$A,"&lt;="&amp;DATE(2025,10,31))</f>
        <v>1</v>
      </c>
      <c r="P13" s="25" t="n">
        <f aca="false">SUMIFS(Airbnb!$G:$G,Airbnb!$A:$A,"&gt;="&amp;DATE(2025,10,1),Airbnb!$A:$A,"&lt;="&amp;DATE(2025,10,31))</f>
        <v>226</v>
      </c>
      <c r="Q13" s="54" t="n">
        <f aca="false">IFERROR(AVERAGEIFS(Airbnb!$H:$H,Airbnb!$A:$A,"&gt;="&amp;DATE(2025,10,1),Airbnb!$A:$A,"&lt;="&amp;DATE(2025,10,31)),0)</f>
        <v>0.08849557522</v>
      </c>
    </row>
    <row r="14" customFormat="false" ht="15" hidden="false" customHeight="true" outlineLevel="0" collapsed="false">
      <c r="A14" s="21" t="s">
        <v>191</v>
      </c>
      <c r="B14" s="21" t="n">
        <f aca="false">SUMIFS(Facebook!$F:$F,Facebook!$A:$A,"&gt;="&amp;DATE(2025,11,1),Facebook!$A:$A,"&lt;="&amp;DATE(2025,11,30))</f>
        <v>384</v>
      </c>
      <c r="C14" s="21" t="n">
        <f aca="false">SUMIFS(Facebook!$E:$E,Facebook!$A:$A,"&gt;="&amp;DATE(2025,11,1),Facebook!$A:$A,"&lt;="&amp;DATE(2025,11,30))</f>
        <v>23</v>
      </c>
      <c r="D14" s="21" t="n">
        <f aca="false">SUMIFS(Facebook!$H:$H,Facebook!$A:$A,"&gt;="&amp;DATE(2025,11,1),Facebook!$A:$A,"&lt;="&amp;DATE(2025,11,30))</f>
        <v>0</v>
      </c>
      <c r="E14" s="21" t="n">
        <f aca="false">SUMIFS(Facebook!$I:$I,Facebook!$A:$A,"&gt;="&amp;DATE(2025,11,1),Facebook!$A:$A,"&lt;="&amp;DATE(2025,11,30))</f>
        <v>0</v>
      </c>
      <c r="F14" s="21" t="n">
        <f aca="false">SUMIFS(Instagram!$F:$F,Instagram!$A:$A,"&gt;="&amp;DATE(2025,11,1),Instagram!$A:$A,"&lt;="&amp;DATE(2025,11,30))</f>
        <v>497</v>
      </c>
      <c r="G14" s="21" t="n">
        <f aca="false">SUMIFS(Instagram!$E:$E,Instagram!$A:$A,"&gt;="&amp;DATE(2025,11,1),Instagram!$A:$A,"&lt;="&amp;DATE(2025,11,30))</f>
        <v>120</v>
      </c>
      <c r="H14" s="21" t="n">
        <f aca="false">SUMIFS(Instagram!$H:$H,Instagram!$A:$A,"&gt;="&amp;DATE(2025,11,1),Instagram!$A:$A,"&lt;="&amp;DATE(2025,11,30))</f>
        <v>0</v>
      </c>
      <c r="I14" s="21" t="n">
        <f aca="false">SUMIFS(Instagram!$I:$I,Instagram!$A:$A,"&gt;="&amp;DATE(2025,11,1),Instagram!$A:$A,"&lt;="&amp;DATE(2025,11,30))</f>
        <v>0</v>
      </c>
      <c r="J14" s="21" t="n">
        <f aca="false">SUMIFS(Website!$B:$B,Website!$A:$A,"&gt;="&amp;DATE(2025,11,1),Website!$A:$A,"&lt;="&amp;DATE(2025,11,30))</f>
        <v>10297</v>
      </c>
      <c r="K14" s="21" t="n">
        <f aca="false">SUMIFS(Website!$C:$C,Website!$A:$A,"&gt;="&amp;DATE(2025,11,1),Website!$A:$A,"&lt;="&amp;DATE(2025,11,30))</f>
        <v>23067</v>
      </c>
      <c r="L14" s="21" t="n">
        <f aca="false">SUMIFS(Website!$F:$F,Website!$A:$A,"&gt;="&amp;DATE(2025,11,1),Website!$A:$A,"&lt;="&amp;DATE(2025,11,30))</f>
        <v>0</v>
      </c>
      <c r="M14" s="21" t="n">
        <f aca="false">SUMIFS(Airbnb!$C:$C,Airbnb!$A:$A,"&gt;="&amp;DATE(2025,11,1),Airbnb!$A:$A,"&lt;="&amp;DATE(2025,11,30))</f>
        <v>45</v>
      </c>
      <c r="N14" s="21" t="n">
        <f aca="false">SUMIFS(Airbnb!$D:$D,Airbnb!$A:$A,"&gt;="&amp;DATE(2025,11,1),Airbnb!$A:$A,"&lt;="&amp;DATE(2025,11,30))</f>
        <v>0</v>
      </c>
      <c r="O14" s="21" t="n">
        <f aca="false">SUMIFS(Airbnb!$E:$E,Airbnb!$A:$A,"&gt;="&amp;DATE(2025,11,1),Airbnb!$A:$A,"&lt;="&amp;DATE(2025,11,30))</f>
        <v>0</v>
      </c>
      <c r="P14" s="22" t="n">
        <f aca="false">SUMIFS(Airbnb!$G:$G,Airbnb!$A:$A,"&gt;="&amp;DATE(2025,11,1),Airbnb!$A:$A,"&lt;="&amp;DATE(2025,11,30))</f>
        <v>0</v>
      </c>
      <c r="Q14" s="53" t="n">
        <f aca="false">IFERROR(AVERAGEIFS(Airbnb!$H:$H,Airbnb!$A:$A,"&gt;="&amp;DATE(2025,11,1),Airbnb!$A:$A,"&lt;="&amp;DATE(2025,11,30)),0)</f>
        <v>0</v>
      </c>
    </row>
    <row r="15" customFormat="false" ht="15" hidden="false" customHeight="true" outlineLevel="0" collapsed="false">
      <c r="A15" s="24" t="s">
        <v>192</v>
      </c>
      <c r="B15" s="24" t="n">
        <f aca="false">SUMIFS(Facebook!$F:$F,Facebook!$A:$A,"&gt;="&amp;DATE(2025,12,1),Facebook!$A:$A,"&lt;="&amp;DATE(2025,12,31))</f>
        <v>130</v>
      </c>
      <c r="C15" s="24" t="n">
        <f aca="false">SUMIFS(Facebook!$E:$E,Facebook!$A:$A,"&gt;="&amp;DATE(2025,12,1),Facebook!$A:$A,"&lt;="&amp;DATE(2025,12,31))</f>
        <v>17</v>
      </c>
      <c r="D15" s="24" t="n">
        <f aca="false">SUMIFS(Facebook!$H:$H,Facebook!$A:$A,"&gt;="&amp;DATE(2025,12,1),Facebook!$A:$A,"&lt;="&amp;DATE(2025,12,31))</f>
        <v>0</v>
      </c>
      <c r="E15" s="24" t="n">
        <f aca="false">SUMIFS(Facebook!$I:$I,Facebook!$A:$A,"&gt;="&amp;DATE(2025,12,1),Facebook!$A:$A,"&lt;="&amp;DATE(2025,12,31))</f>
        <v>0</v>
      </c>
      <c r="F15" s="24" t="n">
        <f aca="false">SUMIFS(Instagram!$F:$F,Instagram!$A:$A,"&gt;="&amp;DATE(2025,12,1),Instagram!$A:$A,"&lt;="&amp;DATE(2025,12,31))</f>
        <v>154</v>
      </c>
      <c r="G15" s="24" t="n">
        <f aca="false">SUMIFS(Instagram!$E:$E,Instagram!$A:$A,"&gt;="&amp;DATE(2025,12,1),Instagram!$A:$A,"&lt;="&amp;DATE(2025,12,31))</f>
        <v>132</v>
      </c>
      <c r="H15" s="24" t="n">
        <f aca="false">SUMIFS(Instagram!$H:$H,Instagram!$A:$A,"&gt;="&amp;DATE(2025,12,1),Instagram!$A:$A,"&lt;="&amp;DATE(2025,12,31))</f>
        <v>0</v>
      </c>
      <c r="I15" s="24" t="n">
        <f aca="false">SUMIFS(Instagram!$I:$I,Instagram!$A:$A,"&gt;="&amp;DATE(2025,12,1),Instagram!$A:$A,"&lt;="&amp;DATE(2025,12,31))</f>
        <v>0</v>
      </c>
      <c r="J15" s="24" t="n">
        <f aca="false">SUMIFS(Website!$B:$B,Website!$A:$A,"&gt;="&amp;DATE(2025,12,1),Website!$A:$A,"&lt;="&amp;DATE(2025,12,31))</f>
        <v>10498</v>
      </c>
      <c r="K15" s="24" t="n">
        <f aca="false">SUMIFS(Website!$C:$C,Website!$A:$A,"&gt;="&amp;DATE(2025,12,1),Website!$A:$A,"&lt;="&amp;DATE(2025,12,31))</f>
        <v>23884</v>
      </c>
      <c r="L15" s="24" t="n">
        <f aca="false">SUMIFS(Website!$F:$F,Website!$A:$A,"&gt;="&amp;DATE(2025,12,1),Website!$A:$A,"&lt;="&amp;DATE(2025,12,31))</f>
        <v>0</v>
      </c>
      <c r="M15" s="24" t="n">
        <f aca="false">SUMIFS(Airbnb!$C:$C,Airbnb!$A:$A,"&gt;="&amp;DATE(2025,12,1),Airbnb!$A:$A,"&lt;="&amp;DATE(2025,12,31))</f>
        <v>60</v>
      </c>
      <c r="N15" s="24" t="n">
        <f aca="false">SUMIFS(Airbnb!$D:$D,Airbnb!$A:$A,"&gt;="&amp;DATE(2025,12,1),Airbnb!$A:$A,"&lt;="&amp;DATE(2025,12,31))</f>
        <v>1</v>
      </c>
      <c r="O15" s="24" t="n">
        <f aca="false">SUMIFS(Airbnb!$E:$E,Airbnb!$A:$A,"&gt;="&amp;DATE(2025,12,1),Airbnb!$A:$A,"&lt;="&amp;DATE(2025,12,31))</f>
        <v>0</v>
      </c>
      <c r="P15" s="25" t="n">
        <f aca="false">SUMIFS(Airbnb!$G:$G,Airbnb!$A:$A,"&gt;="&amp;DATE(2025,12,1),Airbnb!$A:$A,"&lt;="&amp;DATE(2025,12,31))</f>
        <v>0</v>
      </c>
      <c r="Q15" s="54" t="n">
        <f aca="false">IFERROR(AVERAGEIFS(Airbnb!$H:$H,Airbnb!$A:$A,"&gt;="&amp;DATE(2025,12,1),Airbnb!$A:$A,"&lt;="&amp;DATE(2025,12,31)),0)</f>
        <v>0</v>
      </c>
    </row>
    <row r="16" customFormat="false" ht="15" hidden="false" customHeight="true" outlineLevel="0" collapsed="false">
      <c r="A16" s="21" t="s">
        <v>193</v>
      </c>
      <c r="B16" s="21" t="n">
        <f aca="false">SUMIFS(Facebook!$F:$F,Facebook!$A:$A,"&gt;="&amp;DATE(2026,1,1),Facebook!$A:$A,"&lt;="&amp;DATE(2026,1,31))</f>
        <v>123</v>
      </c>
      <c r="C16" s="21" t="n">
        <f aca="false">SUMIFS(Facebook!$E:$E,Facebook!$A:$A,"&gt;="&amp;DATE(2026,1,1),Facebook!$A:$A,"&lt;="&amp;DATE(2026,1,31))</f>
        <v>15</v>
      </c>
      <c r="D16" s="21" t="n">
        <f aca="false">SUMIFS(Facebook!$H:$H,Facebook!$A:$A,"&gt;="&amp;DATE(2026,1,1),Facebook!$A:$A,"&lt;="&amp;DATE(2026,1,31))</f>
        <v>0</v>
      </c>
      <c r="E16" s="21" t="n">
        <f aca="false">SUMIFS(Facebook!$I:$I,Facebook!$A:$A,"&gt;="&amp;DATE(2026,1,1),Facebook!$A:$A,"&lt;="&amp;DATE(2026,1,31))</f>
        <v>0</v>
      </c>
      <c r="F16" s="21" t="n">
        <f aca="false">SUMIFS(Instagram!$F:$F,Instagram!$A:$A,"&gt;="&amp;DATE(2026,1,1),Instagram!$A:$A,"&lt;="&amp;DATE(2026,1,31))</f>
        <v>155</v>
      </c>
      <c r="G16" s="21" t="n">
        <f aca="false">SUMIFS(Instagram!$E:$E,Instagram!$A:$A,"&gt;="&amp;DATE(2026,1,1),Instagram!$A:$A,"&lt;="&amp;DATE(2026,1,31))</f>
        <v>105</v>
      </c>
      <c r="H16" s="21" t="n">
        <f aca="false">SUMIFS(Instagram!$H:$H,Instagram!$A:$A,"&gt;="&amp;DATE(2026,1,1),Instagram!$A:$A,"&lt;="&amp;DATE(2026,1,31))</f>
        <v>0</v>
      </c>
      <c r="I16" s="21" t="n">
        <f aca="false">SUMIFS(Instagram!$I:$I,Instagram!$A:$A,"&gt;="&amp;DATE(2026,1,1),Instagram!$A:$A,"&lt;="&amp;DATE(2026,1,31))</f>
        <v>0</v>
      </c>
      <c r="J16" s="21" t="n">
        <f aca="false">SUMIFS(Website!$B:$B,Website!$A:$A,"&gt;="&amp;DATE(2026,1,1),Website!$A:$A,"&lt;="&amp;DATE(2026,1,31))</f>
        <v>13190</v>
      </c>
      <c r="K16" s="21" t="n">
        <f aca="false">SUMIFS(Website!$C:$C,Website!$A:$A,"&gt;="&amp;DATE(2026,1,1),Website!$A:$A,"&lt;="&amp;DATE(2026,1,31))</f>
        <v>31430</v>
      </c>
      <c r="L16" s="21" t="n">
        <f aca="false">SUMIFS(Website!$F:$F,Website!$A:$A,"&gt;="&amp;DATE(2026,1,1),Website!$A:$A,"&lt;="&amp;DATE(2026,1,31))</f>
        <v>0</v>
      </c>
      <c r="M16" s="21" t="n">
        <f aca="false">SUMIFS(Airbnb!$C:$C,Airbnb!$A:$A,"&gt;="&amp;DATE(2026,1,1),Airbnb!$A:$A,"&lt;="&amp;DATE(2026,1,31))</f>
        <v>60</v>
      </c>
      <c r="N16" s="21" t="n">
        <f aca="false">SUMIFS(Airbnb!$D:$D,Airbnb!$A:$A,"&gt;="&amp;DATE(2026,1,1),Airbnb!$A:$A,"&lt;="&amp;DATE(2026,1,31))</f>
        <v>1</v>
      </c>
      <c r="O16" s="21" t="n">
        <f aca="false">SUMIFS(Airbnb!$E:$E,Airbnb!$A:$A,"&gt;="&amp;DATE(2026,1,1),Airbnb!$A:$A,"&lt;="&amp;DATE(2026,1,31))</f>
        <v>1</v>
      </c>
      <c r="P16" s="22" t="n">
        <f aca="false">SUMIFS(Airbnb!$G:$G,Airbnb!$A:$A,"&gt;="&amp;DATE(2026,1,1),Airbnb!$A:$A,"&lt;="&amp;DATE(2026,1,31))</f>
        <v>361</v>
      </c>
      <c r="Q16" s="53" t="n">
        <f aca="false">IFERROR(AVERAGEIFS(Airbnb!$H:$H,Airbnb!$A:$A,"&gt;="&amp;DATE(2026,1,1),Airbnb!$A:$A,"&lt;="&amp;DATE(2026,1,31)),0)</f>
        <v>0.05540166204</v>
      </c>
    </row>
    <row r="17" customFormat="false" ht="15" hidden="false" customHeight="true" outlineLevel="0" collapsed="false">
      <c r="A17" s="24" t="s">
        <v>194</v>
      </c>
      <c r="B17" s="24" t="n">
        <f aca="false">SUMIFS(Facebook!$F:$F,Facebook!$A:$A,"&gt;="&amp;DATE(2026,2,1),Facebook!$A:$A,"&lt;="&amp;DATE(2026,2,28))</f>
        <v>123</v>
      </c>
      <c r="C17" s="24" t="n">
        <f aca="false">SUMIFS(Facebook!$E:$E,Facebook!$A:$A,"&gt;="&amp;DATE(2026,2,1),Facebook!$A:$A,"&lt;="&amp;DATE(2026,2,28))</f>
        <v>26</v>
      </c>
      <c r="D17" s="24" t="n">
        <f aca="false">SUMIFS(Facebook!$H:$H,Facebook!$A:$A,"&gt;="&amp;DATE(2026,2,1),Facebook!$A:$A,"&lt;="&amp;DATE(2026,2,28))</f>
        <v>0</v>
      </c>
      <c r="E17" s="24" t="n">
        <f aca="false">SUMIFS(Facebook!$I:$I,Facebook!$A:$A,"&gt;="&amp;DATE(2026,2,1),Facebook!$A:$A,"&lt;="&amp;DATE(2026,2,28))</f>
        <v>0</v>
      </c>
      <c r="F17" s="24" t="n">
        <f aca="false">SUMIFS(Instagram!$F:$F,Instagram!$A:$A,"&gt;="&amp;DATE(2026,2,1),Instagram!$A:$A,"&lt;="&amp;DATE(2026,2,28))</f>
        <v>156</v>
      </c>
      <c r="G17" s="24" t="n">
        <f aca="false">SUMIFS(Instagram!$E:$E,Instagram!$A:$A,"&gt;="&amp;DATE(2026,2,1),Instagram!$A:$A,"&lt;="&amp;DATE(2026,2,28))</f>
        <v>66</v>
      </c>
      <c r="H17" s="24" t="n">
        <f aca="false">SUMIFS(Instagram!$H:$H,Instagram!$A:$A,"&gt;="&amp;DATE(2026,2,1),Instagram!$A:$A,"&lt;="&amp;DATE(2026,2,28))</f>
        <v>0</v>
      </c>
      <c r="I17" s="24" t="n">
        <f aca="false">SUMIFS(Instagram!$I:$I,Instagram!$A:$A,"&gt;="&amp;DATE(2026,2,1),Instagram!$A:$A,"&lt;="&amp;DATE(2026,2,28))</f>
        <v>0</v>
      </c>
      <c r="J17" s="24" t="n">
        <f aca="false">SUMIFS(Website!$B:$B,Website!$A:$A,"&gt;="&amp;DATE(2026,2,1),Website!$A:$A,"&lt;="&amp;DATE(2026,2,28))</f>
        <v>11020</v>
      </c>
      <c r="K17" s="24" t="n">
        <f aca="false">SUMIFS(Website!$C:$C,Website!$A:$A,"&gt;="&amp;DATE(2026,2,1),Website!$A:$A,"&lt;="&amp;DATE(2026,2,28))</f>
        <v>26404</v>
      </c>
      <c r="L17" s="24" t="n">
        <f aca="false">SUMIFS(Website!$F:$F,Website!$A:$A,"&gt;="&amp;DATE(2026,2,1),Website!$A:$A,"&lt;="&amp;DATE(2026,2,28))</f>
        <v>0</v>
      </c>
      <c r="M17" s="24" t="n">
        <f aca="false">SUMIFS(Airbnb!$C:$C,Airbnb!$A:$A,"&gt;="&amp;DATE(2026,2,1),Airbnb!$A:$A,"&lt;="&amp;DATE(2026,2,28))</f>
        <v>30</v>
      </c>
      <c r="N17" s="24" t="n">
        <f aca="false">SUMIFS(Airbnb!$D:$D,Airbnb!$A:$A,"&gt;="&amp;DATE(2026,2,1),Airbnb!$A:$A,"&lt;="&amp;DATE(2026,2,28))</f>
        <v>0</v>
      </c>
      <c r="O17" s="24" t="n">
        <f aca="false">SUMIFS(Airbnb!$E:$E,Airbnb!$A:$A,"&gt;="&amp;DATE(2026,2,1),Airbnb!$A:$A,"&lt;="&amp;DATE(2026,2,28))</f>
        <v>0</v>
      </c>
      <c r="P17" s="25" t="n">
        <f aca="false">SUMIFS(Airbnb!$G:$G,Airbnb!$A:$A,"&gt;="&amp;DATE(2026,2,1),Airbnb!$A:$A,"&lt;="&amp;DATE(2026,2,28))</f>
        <v>0</v>
      </c>
      <c r="Q17" s="54" t="n">
        <f aca="false">IFERROR(AVERAGEIFS(Airbnb!$H:$H,Airbnb!$A:$A,"&gt;="&amp;DATE(2026,2,1),Airbnb!$A:$A,"&lt;="&amp;DATE(2026,2,28)),0)</f>
        <v>0</v>
      </c>
    </row>
    <row r="18" customFormat="false" ht="15" hidden="false" customHeight="true" outlineLevel="0" collapsed="false">
      <c r="A18" s="21" t="s">
        <v>195</v>
      </c>
      <c r="B18" s="21" t="n">
        <f aca="false">SUMIFS(Facebook!$F:$F,Facebook!$A:$A,"&gt;="&amp;DATE(2026,3,1),Facebook!$A:$A,"&lt;="&amp;DATE(2026,3,31))</f>
        <v>62</v>
      </c>
      <c r="C18" s="21" t="n">
        <f aca="false">SUMIFS(Facebook!$E:$E,Facebook!$A:$A,"&gt;="&amp;DATE(2026,3,1),Facebook!$A:$A,"&lt;="&amp;DATE(2026,3,31))</f>
        <v>43</v>
      </c>
      <c r="D18" s="21" t="n">
        <f aca="false">SUMIFS(Facebook!$H:$H,Facebook!$A:$A,"&gt;="&amp;DATE(2026,3,1),Facebook!$A:$A,"&lt;="&amp;DATE(2026,3,31))</f>
        <v>0</v>
      </c>
      <c r="E18" s="21" t="n">
        <f aca="false">SUMIFS(Facebook!$I:$I,Facebook!$A:$A,"&gt;="&amp;DATE(2026,3,1),Facebook!$A:$A,"&lt;="&amp;DATE(2026,3,31))</f>
        <v>0</v>
      </c>
      <c r="F18" s="21" t="n">
        <f aca="false">SUMIFS(Instagram!$F:$F,Instagram!$A:$A,"&gt;="&amp;DATE(2026,3,1),Instagram!$A:$A,"&lt;="&amp;DATE(2026,3,31))</f>
        <v>113</v>
      </c>
      <c r="G18" s="21" t="n">
        <f aca="false">SUMIFS(Instagram!$E:$E,Instagram!$A:$A,"&gt;="&amp;DATE(2026,3,1),Instagram!$A:$A,"&lt;="&amp;DATE(2026,3,31))</f>
        <v>114</v>
      </c>
      <c r="H18" s="21" t="n">
        <f aca="false">SUMIFS(Instagram!$H:$H,Instagram!$A:$A,"&gt;="&amp;DATE(2026,3,1),Instagram!$A:$A,"&lt;="&amp;DATE(2026,3,31))</f>
        <v>0</v>
      </c>
      <c r="I18" s="21" t="n">
        <f aca="false">SUMIFS(Instagram!$I:$I,Instagram!$A:$A,"&gt;="&amp;DATE(2026,3,1),Instagram!$A:$A,"&lt;="&amp;DATE(2026,3,31))</f>
        <v>0</v>
      </c>
      <c r="J18" s="21" t="n">
        <f aca="false">SUMIFS(Website!$B:$B,Website!$A:$A,"&gt;="&amp;DATE(2026,3,1),Website!$A:$A,"&lt;="&amp;DATE(2026,3,31))</f>
        <v>11436</v>
      </c>
      <c r="K18" s="21" t="n">
        <f aca="false">SUMIFS(Website!$C:$C,Website!$A:$A,"&gt;="&amp;DATE(2026,3,1),Website!$A:$A,"&lt;="&amp;DATE(2026,3,31))</f>
        <v>27524</v>
      </c>
      <c r="L18" s="21" t="n">
        <f aca="false">SUMIFS(Website!$F:$F,Website!$A:$A,"&gt;="&amp;DATE(2026,3,1),Website!$A:$A,"&lt;="&amp;DATE(2026,3,31))</f>
        <v>0</v>
      </c>
      <c r="M18" s="21" t="n">
        <f aca="false">SUMIFS(Airbnb!$C:$C,Airbnb!$A:$A,"&gt;="&amp;DATE(2026,3,1),Airbnb!$A:$A,"&lt;="&amp;DATE(2026,3,31))</f>
        <v>36</v>
      </c>
      <c r="N18" s="21" t="n">
        <f aca="false">SUMIFS(Airbnb!$D:$D,Airbnb!$A:$A,"&gt;="&amp;DATE(2026,3,1),Airbnb!$A:$A,"&lt;="&amp;DATE(2026,3,31))</f>
        <v>1</v>
      </c>
      <c r="O18" s="21" t="n">
        <f aca="false">SUMIFS(Airbnb!$E:$E,Airbnb!$A:$A,"&gt;="&amp;DATE(2026,3,1),Airbnb!$A:$A,"&lt;="&amp;DATE(2026,3,31))</f>
        <v>0</v>
      </c>
      <c r="P18" s="22" t="n">
        <f aca="false">SUMIFS(Airbnb!$G:$G,Airbnb!$A:$A,"&gt;="&amp;DATE(2026,3,1),Airbnb!$A:$A,"&lt;="&amp;DATE(2026,3,31))</f>
        <v>0</v>
      </c>
      <c r="Q18" s="53" t="n">
        <f aca="false">IFERROR(AVERAGEIFS(Airbnb!$H:$H,Airbnb!$A:$A,"&gt;="&amp;DATE(2026,3,1),Airbnb!$A:$A,"&lt;="&amp;DATE(2026,3,31)),0)</f>
        <v>0</v>
      </c>
    </row>
    <row r="19" customFormat="false" ht="15" hidden="false" customHeight="true" outlineLevel="0" collapsed="false">
      <c r="A19" s="24" t="s">
        <v>196</v>
      </c>
      <c r="B19" s="24" t="n">
        <f aca="false">SUMIFS(Facebook!$F:$F,Facebook!$A:$A,"&gt;="&amp;DATE(2026,4,1),Facebook!$A:$A,"&lt;="&amp;DATE(2026,4,30))</f>
        <v>104</v>
      </c>
      <c r="C19" s="24" t="n">
        <f aca="false">SUMIFS(Facebook!$E:$E,Facebook!$A:$A,"&gt;="&amp;DATE(2026,4,1),Facebook!$A:$A,"&lt;="&amp;DATE(2026,4,30))</f>
        <v>23</v>
      </c>
      <c r="D19" s="24" t="n">
        <f aca="false">SUMIFS(Facebook!$H:$H,Facebook!$A:$A,"&gt;="&amp;DATE(2026,4,1),Facebook!$A:$A,"&lt;="&amp;DATE(2026,4,30))</f>
        <v>0</v>
      </c>
      <c r="E19" s="24" t="n">
        <f aca="false">SUMIFS(Facebook!$I:$I,Facebook!$A:$A,"&gt;="&amp;DATE(2026,4,1),Facebook!$A:$A,"&lt;="&amp;DATE(2026,4,30))</f>
        <v>0</v>
      </c>
      <c r="F19" s="24" t="n">
        <f aca="false">SUMIFS(Instagram!$F:$F,Instagram!$A:$A,"&gt;="&amp;DATE(2026,4,1),Instagram!$A:$A,"&lt;="&amp;DATE(2026,4,30))</f>
        <v>89</v>
      </c>
      <c r="G19" s="24" t="n">
        <f aca="false">SUMIFS(Instagram!$E:$E,Instagram!$A:$A,"&gt;="&amp;DATE(2026,4,1),Instagram!$A:$A,"&lt;="&amp;DATE(2026,4,30))</f>
        <v>128</v>
      </c>
      <c r="H19" s="24" t="n">
        <f aca="false">SUMIFS(Instagram!$H:$H,Instagram!$A:$A,"&gt;="&amp;DATE(2026,4,1),Instagram!$A:$A,"&lt;="&amp;DATE(2026,4,30))</f>
        <v>0</v>
      </c>
      <c r="I19" s="24" t="n">
        <f aca="false">SUMIFS(Instagram!$I:$I,Instagram!$A:$A,"&gt;="&amp;DATE(2026,4,1),Instagram!$A:$A,"&lt;="&amp;DATE(2026,4,30))</f>
        <v>0</v>
      </c>
      <c r="J19" s="24" t="n">
        <f aca="false">SUMIFS(Website!$B:$B,Website!$A:$A,"&gt;="&amp;DATE(2026,4,1),Website!$A:$A,"&lt;="&amp;DATE(2026,4,30))</f>
        <v>11852</v>
      </c>
      <c r="K19" s="24" t="n">
        <f aca="false">SUMIFS(Website!$C:$C,Website!$A:$A,"&gt;="&amp;DATE(2026,4,1),Website!$A:$A,"&lt;="&amp;DATE(2026,4,30))</f>
        <v>28644</v>
      </c>
      <c r="L19" s="24" t="n">
        <f aca="false">SUMIFS(Website!$F:$F,Website!$A:$A,"&gt;="&amp;DATE(2026,4,1),Website!$A:$A,"&lt;="&amp;DATE(2026,4,30))</f>
        <v>0</v>
      </c>
      <c r="M19" s="24" t="n">
        <f aca="false">SUMIFS(Airbnb!$C:$C,Airbnb!$A:$A,"&gt;="&amp;DATE(2026,4,1),Airbnb!$A:$A,"&lt;="&amp;DATE(2026,4,30))</f>
        <v>27</v>
      </c>
      <c r="N19" s="24" t="n">
        <f aca="false">SUMIFS(Airbnb!$D:$D,Airbnb!$A:$A,"&gt;="&amp;DATE(2026,4,1),Airbnb!$A:$A,"&lt;="&amp;DATE(2026,4,30))</f>
        <v>1</v>
      </c>
      <c r="O19" s="24" t="n">
        <f aca="false">SUMIFS(Airbnb!$E:$E,Airbnb!$A:$A,"&gt;="&amp;DATE(2026,4,1),Airbnb!$A:$A,"&lt;="&amp;DATE(2026,4,30))</f>
        <v>0</v>
      </c>
      <c r="P19" s="25" t="n">
        <f aca="false">SUMIFS(Airbnb!$G:$G,Airbnb!$A:$A,"&gt;="&amp;DATE(2026,4,1),Airbnb!$A:$A,"&lt;="&amp;DATE(2026,4,30))</f>
        <v>0</v>
      </c>
      <c r="Q19" s="54" t="n">
        <f aca="false">IFERROR(AVERAGEIFS(Airbnb!$H:$H,Airbnb!$A:$A,"&gt;="&amp;DATE(2026,4,1),Airbnb!$A:$A,"&lt;="&amp;DATE(2026,4,30)),0)</f>
        <v>0</v>
      </c>
    </row>
    <row r="20" customFormat="false" ht="15" hidden="false" customHeight="true" outlineLevel="0" collapsed="false">
      <c r="A20" s="21" t="s">
        <v>197</v>
      </c>
      <c r="B20" s="21" t="n">
        <f aca="false">SUMIFS(Facebook!$F:$F,Facebook!$A:$A,"&gt;="&amp;DATE(2026,5,1),Facebook!$A:$A,"&lt;="&amp;DATE(2026,5,31))</f>
        <v>147</v>
      </c>
      <c r="C20" s="21" t="n">
        <f aca="false">SUMIFS(Facebook!$E:$E,Facebook!$A:$A,"&gt;="&amp;DATE(2026,5,1),Facebook!$A:$A,"&lt;="&amp;DATE(2026,5,31))</f>
        <v>11</v>
      </c>
      <c r="D20" s="21" t="n">
        <f aca="false">SUMIFS(Facebook!$H:$H,Facebook!$A:$A,"&gt;="&amp;DATE(2026,5,1),Facebook!$A:$A,"&lt;="&amp;DATE(2026,5,31))</f>
        <v>0</v>
      </c>
      <c r="E20" s="21" t="n">
        <f aca="false">SUMIFS(Facebook!$I:$I,Facebook!$A:$A,"&gt;="&amp;DATE(2026,5,1),Facebook!$A:$A,"&lt;="&amp;DATE(2026,5,31))</f>
        <v>0</v>
      </c>
      <c r="F20" s="21" t="n">
        <f aca="false">SUMIFS(Instagram!$F:$F,Instagram!$A:$A,"&gt;="&amp;DATE(2026,5,1),Instagram!$A:$A,"&lt;="&amp;DATE(2026,5,31))</f>
        <v>143</v>
      </c>
      <c r="G20" s="21" t="n">
        <f aca="false">SUMIFS(Instagram!$E:$E,Instagram!$A:$A,"&gt;="&amp;DATE(2026,5,1),Instagram!$A:$A,"&lt;="&amp;DATE(2026,5,31))</f>
        <v>154</v>
      </c>
      <c r="H20" s="21" t="n">
        <f aca="false">SUMIFS(Instagram!$H:$H,Instagram!$A:$A,"&gt;="&amp;DATE(2026,5,1),Instagram!$A:$A,"&lt;="&amp;DATE(2026,5,31))</f>
        <v>0</v>
      </c>
      <c r="I20" s="21" t="n">
        <f aca="false">SUMIFS(Instagram!$I:$I,Instagram!$A:$A,"&gt;="&amp;DATE(2026,5,1),Instagram!$A:$A,"&lt;="&amp;DATE(2026,5,31))</f>
        <v>0</v>
      </c>
      <c r="J20" s="21" t="n">
        <f aca="false">SUMIFS(Website!$B:$B,Website!$A:$A,"&gt;="&amp;DATE(2026,5,1),Website!$A:$A,"&lt;="&amp;DATE(2026,5,31))</f>
        <v>15400</v>
      </c>
      <c r="K20" s="21" t="n">
        <f aca="false">SUMIFS(Website!$C:$C,Website!$A:$A,"&gt;="&amp;DATE(2026,5,1),Website!$A:$A,"&lt;="&amp;DATE(2026,5,31))</f>
        <v>37380</v>
      </c>
      <c r="L20" s="21" t="n">
        <f aca="false">SUMIFS(Website!$F:$F,Website!$A:$A,"&gt;="&amp;DATE(2026,5,1),Website!$A:$A,"&lt;="&amp;DATE(2026,5,31))</f>
        <v>0</v>
      </c>
      <c r="M20" s="21" t="n">
        <f aca="false">SUMIFS(Airbnb!$C:$C,Airbnb!$A:$A,"&gt;="&amp;DATE(2026,5,1),Airbnb!$A:$A,"&lt;="&amp;DATE(2026,5,31))</f>
        <v>61</v>
      </c>
      <c r="N20" s="21" t="n">
        <f aca="false">SUMIFS(Airbnb!$D:$D,Airbnb!$A:$A,"&gt;="&amp;DATE(2026,5,1),Airbnb!$A:$A,"&lt;="&amp;DATE(2026,5,31))</f>
        <v>1</v>
      </c>
      <c r="O20" s="21" t="n">
        <f aca="false">SUMIFS(Airbnb!$E:$E,Airbnb!$A:$A,"&gt;="&amp;DATE(2026,5,1),Airbnb!$A:$A,"&lt;="&amp;DATE(2026,5,31))</f>
        <v>1</v>
      </c>
      <c r="P20" s="22" t="n">
        <f aca="false">SUMIFS(Airbnb!$G:$G,Airbnb!$A:$A,"&gt;="&amp;DATE(2026,5,1),Airbnb!$A:$A,"&lt;="&amp;DATE(2026,5,31))</f>
        <v>284</v>
      </c>
      <c r="Q20" s="53" t="n">
        <f aca="false">IFERROR(AVERAGEIFS(Airbnb!$H:$H,Airbnb!$A:$A,"&gt;="&amp;DATE(2026,5,1),Airbnb!$A:$A,"&lt;="&amp;DATE(2026,5,31)),0)</f>
        <v>0.07042253522</v>
      </c>
    </row>
    <row r="21" customFormat="false" ht="15" hidden="false" customHeight="true" outlineLevel="0" collapsed="false">
      <c r="A21" s="24" t="s">
        <v>198</v>
      </c>
      <c r="B21" s="24" t="n">
        <f aca="false">SUMIFS(Facebook!$F:$F,Facebook!$A:$A,"&gt;="&amp;DATE(2026,6,1),Facebook!$A:$A,"&lt;="&amp;DATE(2026,6,30))</f>
        <v>104</v>
      </c>
      <c r="C21" s="24" t="n">
        <f aca="false">SUMIFS(Facebook!$E:$E,Facebook!$A:$A,"&gt;="&amp;DATE(2026,6,1),Facebook!$A:$A,"&lt;="&amp;DATE(2026,6,30))</f>
        <v>57</v>
      </c>
      <c r="D21" s="24" t="n">
        <f aca="false">SUMIFS(Facebook!$H:$H,Facebook!$A:$A,"&gt;="&amp;DATE(2026,6,1),Facebook!$A:$A,"&lt;="&amp;DATE(2026,6,30))</f>
        <v>0</v>
      </c>
      <c r="E21" s="24" t="n">
        <f aca="false">SUMIFS(Facebook!$I:$I,Facebook!$A:$A,"&gt;="&amp;DATE(2026,6,1),Facebook!$A:$A,"&lt;="&amp;DATE(2026,6,30))</f>
        <v>0</v>
      </c>
      <c r="F21" s="24" t="n">
        <f aca="false">SUMIFS(Instagram!$F:$F,Instagram!$A:$A,"&gt;="&amp;DATE(2026,6,1),Instagram!$A:$A,"&lt;="&amp;DATE(2026,6,30))</f>
        <v>142</v>
      </c>
      <c r="G21" s="24" t="n">
        <f aca="false">SUMIFS(Instagram!$E:$E,Instagram!$A:$A,"&gt;="&amp;DATE(2026,6,1),Instagram!$A:$A,"&lt;="&amp;DATE(2026,6,30))</f>
        <v>107</v>
      </c>
      <c r="H21" s="24" t="n">
        <f aca="false">SUMIFS(Instagram!$H:$H,Instagram!$A:$A,"&gt;="&amp;DATE(2026,6,1),Instagram!$A:$A,"&lt;="&amp;DATE(2026,6,30))</f>
        <v>0</v>
      </c>
      <c r="I21" s="24" t="n">
        <f aca="false">SUMIFS(Instagram!$I:$I,Instagram!$A:$A,"&gt;="&amp;DATE(2026,6,1),Instagram!$A:$A,"&lt;="&amp;DATE(2026,6,30))</f>
        <v>0</v>
      </c>
      <c r="J21" s="24" t="n">
        <f aca="false">SUMIFS(Website!$B:$B,Website!$A:$A,"&gt;="&amp;DATE(2026,6,1),Website!$A:$A,"&lt;="&amp;DATE(2026,6,30))</f>
        <v>9552</v>
      </c>
      <c r="K21" s="24" t="n">
        <f aca="false">SUMIFS(Website!$C:$C,Website!$A:$A,"&gt;="&amp;DATE(2026,6,1),Website!$A:$A,"&lt;="&amp;DATE(2026,6,30))</f>
        <v>23268</v>
      </c>
      <c r="L21" s="24" t="n">
        <f aca="false">SUMIFS(Website!$F:$F,Website!$A:$A,"&gt;="&amp;DATE(2026,6,1),Website!$A:$A,"&lt;="&amp;DATE(2026,6,30))</f>
        <v>0</v>
      </c>
      <c r="M21" s="24" t="n">
        <f aca="false">SUMIFS(Airbnb!$C:$C,Airbnb!$A:$A,"&gt;="&amp;DATE(2026,6,1),Airbnb!$A:$A,"&lt;="&amp;DATE(2026,6,30))</f>
        <v>28</v>
      </c>
      <c r="N21" s="24" t="n">
        <f aca="false">SUMIFS(Airbnb!$D:$D,Airbnb!$A:$A,"&gt;="&amp;DATE(2026,6,1),Airbnb!$A:$A,"&lt;="&amp;DATE(2026,6,30))</f>
        <v>1</v>
      </c>
      <c r="O21" s="24" t="n">
        <f aca="false">SUMIFS(Airbnb!$E:$E,Airbnb!$A:$A,"&gt;="&amp;DATE(2026,6,1),Airbnb!$A:$A,"&lt;="&amp;DATE(2026,6,30))</f>
        <v>1</v>
      </c>
      <c r="P21" s="25" t="n">
        <f aca="false">SUMIFS(Airbnb!$G:$G,Airbnb!$A:$A,"&gt;="&amp;DATE(2026,6,1),Airbnb!$A:$A,"&lt;="&amp;DATE(2026,6,30))</f>
        <v>238</v>
      </c>
      <c r="Q21" s="54" t="n">
        <f aca="false">IFERROR(AVERAGEIFS(Airbnb!$H:$H,Airbnb!$A:$A,"&gt;="&amp;DATE(2026,6,1),Airbnb!$A:$A,"&lt;="&amp;DATE(2026,6,30)),0)</f>
        <v>0.420168067333333</v>
      </c>
    </row>
    <row r="22" customFormat="false" ht="15" hidden="false" customHeight="true" outlineLevel="0" collapsed="false">
      <c r="A22" s="21" t="s">
        <v>199</v>
      </c>
      <c r="B22" s="21" t="n">
        <f aca="false">SUMIFS(Facebook!$F:$F,Facebook!$A:$A,"&gt;="&amp;DATE(2026,7,1),Facebook!$A:$A,"&lt;="&amp;DATE(2026,7,31))</f>
        <v>35</v>
      </c>
      <c r="C22" s="21" t="n">
        <f aca="false">SUMIFS(Facebook!$E:$E,Facebook!$A:$A,"&gt;="&amp;DATE(2026,7,1),Facebook!$A:$A,"&lt;="&amp;DATE(2026,7,31))</f>
        <v>24</v>
      </c>
      <c r="D22" s="21" t="n">
        <f aca="false">SUMIFS(Facebook!$H:$H,Facebook!$A:$A,"&gt;="&amp;DATE(2026,7,1),Facebook!$A:$A,"&lt;="&amp;DATE(2026,7,31))</f>
        <v>0</v>
      </c>
      <c r="E22" s="21" t="n">
        <f aca="false">SUMIFS(Facebook!$I:$I,Facebook!$A:$A,"&gt;="&amp;DATE(2026,7,1),Facebook!$A:$A,"&lt;="&amp;DATE(2026,7,31))</f>
        <v>0</v>
      </c>
      <c r="F22" s="21" t="n">
        <f aca="false">SUMIFS(Instagram!$F:$F,Instagram!$A:$A,"&gt;="&amp;DATE(2026,7,1),Instagram!$A:$A,"&lt;="&amp;DATE(2026,7,31))</f>
        <v>0</v>
      </c>
      <c r="G22" s="21" t="n">
        <f aca="false">SUMIFS(Instagram!$E:$E,Instagram!$A:$A,"&gt;="&amp;DATE(2026,7,1),Instagram!$A:$A,"&lt;="&amp;DATE(2026,7,31))</f>
        <v>0</v>
      </c>
      <c r="H22" s="21" t="n">
        <f aca="false">SUMIFS(Instagram!$H:$H,Instagram!$A:$A,"&gt;="&amp;DATE(2026,7,1),Instagram!$A:$A,"&lt;="&amp;DATE(2026,7,31))</f>
        <v>0</v>
      </c>
      <c r="I22" s="21" t="n">
        <f aca="false">SUMIFS(Instagram!$I:$I,Instagram!$A:$A,"&gt;="&amp;DATE(2026,7,1),Instagram!$A:$A,"&lt;="&amp;DATE(2026,7,31))</f>
        <v>0</v>
      </c>
      <c r="J22" s="21" t="n">
        <f aca="false">SUMIFS(Website!$B:$B,Website!$A:$A,"&gt;="&amp;DATE(2026,7,1),Website!$A:$A,"&lt;="&amp;DATE(2026,7,31))</f>
        <v>0</v>
      </c>
      <c r="K22" s="21" t="n">
        <f aca="false">SUMIFS(Website!$C:$C,Website!$A:$A,"&gt;="&amp;DATE(2026,7,1),Website!$A:$A,"&lt;="&amp;DATE(2026,7,31))</f>
        <v>0</v>
      </c>
      <c r="L22" s="21" t="n">
        <f aca="false">SUMIFS(Website!$F:$F,Website!$A:$A,"&gt;="&amp;DATE(2026,7,1),Website!$A:$A,"&lt;="&amp;DATE(2026,7,31))</f>
        <v>0</v>
      </c>
      <c r="M22" s="21" t="n">
        <f aca="false">SUMIFS(Airbnb!$C:$C,Airbnb!$A:$A,"&gt;="&amp;DATE(2026,7,1),Airbnb!$A:$A,"&lt;="&amp;DATE(2026,7,31))</f>
        <v>0</v>
      </c>
      <c r="N22" s="21" t="n">
        <f aca="false">SUMIFS(Airbnb!$D:$D,Airbnb!$A:$A,"&gt;="&amp;DATE(2026,7,1),Airbnb!$A:$A,"&lt;="&amp;DATE(2026,7,31))</f>
        <v>0</v>
      </c>
      <c r="O22" s="21" t="n">
        <f aca="false">SUMIFS(Airbnb!$E:$E,Airbnb!$A:$A,"&gt;="&amp;DATE(2026,7,1),Airbnb!$A:$A,"&lt;="&amp;DATE(2026,7,31))</f>
        <v>0</v>
      </c>
      <c r="P22" s="22" t="n">
        <f aca="false">SUMIFS(Airbnb!$G:$G,Airbnb!$A:$A,"&gt;="&amp;DATE(2026,7,1),Airbnb!$A:$A,"&lt;="&amp;DATE(2026,7,31))</f>
        <v>0</v>
      </c>
      <c r="Q22" s="53" t="n">
        <f aca="false">IFERROR(AVERAGEIFS(Airbnb!$H:$H,Airbnb!$A:$A,"&gt;="&amp;DATE(2026,7,1),Airbnb!$A:$A,"&lt;="&amp;DATE(2026,7,31)),0)</f>
        <v>0</v>
      </c>
    </row>
    <row r="23" customFormat="false" ht="15" hidden="false" customHeight="true" outlineLevel="0" collapsed="false">
      <c r="A23" s="24" t="s">
        <v>200</v>
      </c>
      <c r="B23" s="24" t="n">
        <f aca="false">SUMIFS(Facebook!$F:$F,Facebook!$A:$A,"&gt;="&amp;DATE(2026,8,1),Facebook!$A:$A,"&lt;="&amp;DATE(2026,8,31))</f>
        <v>0</v>
      </c>
      <c r="C23" s="24" t="n">
        <f aca="false">SUMIFS(Facebook!$E:$E,Facebook!$A:$A,"&gt;="&amp;DATE(2026,8,1),Facebook!$A:$A,"&lt;="&amp;DATE(2026,8,31))</f>
        <v>0</v>
      </c>
      <c r="D23" s="24" t="n">
        <f aca="false">SUMIFS(Facebook!$H:$H,Facebook!$A:$A,"&gt;="&amp;DATE(2026,8,1),Facebook!$A:$A,"&lt;="&amp;DATE(2026,8,31))</f>
        <v>0</v>
      </c>
      <c r="E23" s="24" t="n">
        <f aca="false">SUMIFS(Facebook!$I:$I,Facebook!$A:$A,"&gt;="&amp;DATE(2026,8,1),Facebook!$A:$A,"&lt;="&amp;DATE(2026,8,31))</f>
        <v>0</v>
      </c>
      <c r="F23" s="24" t="n">
        <f aca="false">SUMIFS(Instagram!$F:$F,Instagram!$A:$A,"&gt;="&amp;DATE(2026,8,1),Instagram!$A:$A,"&lt;="&amp;DATE(2026,8,31))</f>
        <v>0</v>
      </c>
      <c r="G23" s="24" t="n">
        <f aca="false">SUMIFS(Instagram!$E:$E,Instagram!$A:$A,"&gt;="&amp;DATE(2026,8,1),Instagram!$A:$A,"&lt;="&amp;DATE(2026,8,31))</f>
        <v>0</v>
      </c>
      <c r="H23" s="24" t="n">
        <f aca="false">SUMIFS(Instagram!$H:$H,Instagram!$A:$A,"&gt;="&amp;DATE(2026,8,1),Instagram!$A:$A,"&lt;="&amp;DATE(2026,8,31))</f>
        <v>0</v>
      </c>
      <c r="I23" s="24" t="n">
        <f aca="false">SUMIFS(Instagram!$I:$I,Instagram!$A:$A,"&gt;="&amp;DATE(2026,8,1),Instagram!$A:$A,"&lt;="&amp;DATE(2026,8,31))</f>
        <v>0</v>
      </c>
      <c r="J23" s="24" t="n">
        <f aca="false">SUMIFS(Website!$B:$B,Website!$A:$A,"&gt;="&amp;DATE(2026,8,1),Website!$A:$A,"&lt;="&amp;DATE(2026,8,31))</f>
        <v>0</v>
      </c>
      <c r="K23" s="24" t="n">
        <f aca="false">SUMIFS(Website!$C:$C,Website!$A:$A,"&gt;="&amp;DATE(2026,8,1),Website!$A:$A,"&lt;="&amp;DATE(2026,8,31))</f>
        <v>0</v>
      </c>
      <c r="L23" s="24" t="n">
        <f aca="false">SUMIFS(Website!$F:$F,Website!$A:$A,"&gt;="&amp;DATE(2026,8,1),Website!$A:$A,"&lt;="&amp;DATE(2026,8,31))</f>
        <v>0</v>
      </c>
      <c r="M23" s="24" t="n">
        <f aca="false">SUMIFS(Airbnb!$C:$C,Airbnb!$A:$A,"&gt;="&amp;DATE(2026,8,1),Airbnb!$A:$A,"&lt;="&amp;DATE(2026,8,31))</f>
        <v>0</v>
      </c>
      <c r="N23" s="24" t="n">
        <f aca="false">SUMIFS(Airbnb!$D:$D,Airbnb!$A:$A,"&gt;="&amp;DATE(2026,8,1),Airbnb!$A:$A,"&lt;="&amp;DATE(2026,8,31))</f>
        <v>0</v>
      </c>
      <c r="O23" s="24" t="n">
        <f aca="false">SUMIFS(Airbnb!$E:$E,Airbnb!$A:$A,"&gt;="&amp;DATE(2026,8,1),Airbnb!$A:$A,"&lt;="&amp;DATE(2026,8,31))</f>
        <v>0</v>
      </c>
      <c r="P23" s="25" t="n">
        <f aca="false">SUMIFS(Airbnb!$G:$G,Airbnb!$A:$A,"&gt;="&amp;DATE(2026,8,1),Airbnb!$A:$A,"&lt;="&amp;DATE(2026,8,31))</f>
        <v>0</v>
      </c>
      <c r="Q23" s="54" t="n">
        <f aca="false">IFERROR(AVERAGEIFS(Airbnb!$H:$H,Airbnb!$A:$A,"&gt;="&amp;DATE(2026,8,1),Airbnb!$A:$A,"&lt;="&amp;DATE(2026,8,31)),0)</f>
        <v>0</v>
      </c>
    </row>
    <row r="24" customFormat="false" ht="15" hidden="false" customHeight="true" outlineLevel="0" collapsed="false">
      <c r="A24" s="21" t="s">
        <v>201</v>
      </c>
      <c r="B24" s="21" t="n">
        <f aca="false">SUMIFS(Facebook!$F:$F,Facebook!$A:$A,"&gt;="&amp;DATE(2026,9,1),Facebook!$A:$A,"&lt;="&amp;DATE(2026,9,30))</f>
        <v>0</v>
      </c>
      <c r="C24" s="21" t="n">
        <f aca="false">SUMIFS(Facebook!$E:$E,Facebook!$A:$A,"&gt;="&amp;DATE(2026,9,1),Facebook!$A:$A,"&lt;="&amp;DATE(2026,9,30))</f>
        <v>0</v>
      </c>
      <c r="D24" s="21" t="n">
        <f aca="false">SUMIFS(Facebook!$H:$H,Facebook!$A:$A,"&gt;="&amp;DATE(2026,9,1),Facebook!$A:$A,"&lt;="&amp;DATE(2026,9,30))</f>
        <v>0</v>
      </c>
      <c r="E24" s="21" t="n">
        <f aca="false">SUMIFS(Facebook!$I:$I,Facebook!$A:$A,"&gt;="&amp;DATE(2026,9,1),Facebook!$A:$A,"&lt;="&amp;DATE(2026,9,30))</f>
        <v>0</v>
      </c>
      <c r="F24" s="21" t="n">
        <f aca="false">SUMIFS(Instagram!$F:$F,Instagram!$A:$A,"&gt;="&amp;DATE(2026,9,1),Instagram!$A:$A,"&lt;="&amp;DATE(2026,9,30))</f>
        <v>0</v>
      </c>
      <c r="G24" s="21" t="n">
        <f aca="false">SUMIFS(Instagram!$E:$E,Instagram!$A:$A,"&gt;="&amp;DATE(2026,9,1),Instagram!$A:$A,"&lt;="&amp;DATE(2026,9,30))</f>
        <v>0</v>
      </c>
      <c r="H24" s="21" t="n">
        <f aca="false">SUMIFS(Instagram!$H:$H,Instagram!$A:$A,"&gt;="&amp;DATE(2026,9,1),Instagram!$A:$A,"&lt;="&amp;DATE(2026,9,30))</f>
        <v>0</v>
      </c>
      <c r="I24" s="21" t="n">
        <f aca="false">SUMIFS(Instagram!$I:$I,Instagram!$A:$A,"&gt;="&amp;DATE(2026,9,1),Instagram!$A:$A,"&lt;="&amp;DATE(2026,9,30))</f>
        <v>0</v>
      </c>
      <c r="J24" s="21" t="n">
        <f aca="false">SUMIFS(Website!$B:$B,Website!$A:$A,"&gt;="&amp;DATE(2026,9,1),Website!$A:$A,"&lt;="&amp;DATE(2026,9,30))</f>
        <v>0</v>
      </c>
      <c r="K24" s="21" t="n">
        <f aca="false">SUMIFS(Website!$C:$C,Website!$A:$A,"&gt;="&amp;DATE(2026,9,1),Website!$A:$A,"&lt;="&amp;DATE(2026,9,30))</f>
        <v>0</v>
      </c>
      <c r="L24" s="21" t="n">
        <f aca="false">SUMIFS(Website!$F:$F,Website!$A:$A,"&gt;="&amp;DATE(2026,9,1),Website!$A:$A,"&lt;="&amp;DATE(2026,9,30))</f>
        <v>0</v>
      </c>
      <c r="M24" s="21" t="n">
        <f aca="false">SUMIFS(Airbnb!$C:$C,Airbnb!$A:$A,"&gt;="&amp;DATE(2026,9,1),Airbnb!$A:$A,"&lt;="&amp;DATE(2026,9,30))</f>
        <v>0</v>
      </c>
      <c r="N24" s="21" t="n">
        <f aca="false">SUMIFS(Airbnb!$D:$D,Airbnb!$A:$A,"&gt;="&amp;DATE(2026,9,1),Airbnb!$A:$A,"&lt;="&amp;DATE(2026,9,30))</f>
        <v>0</v>
      </c>
      <c r="O24" s="21" t="n">
        <f aca="false">SUMIFS(Airbnb!$E:$E,Airbnb!$A:$A,"&gt;="&amp;DATE(2026,9,1),Airbnb!$A:$A,"&lt;="&amp;DATE(2026,9,30))</f>
        <v>0</v>
      </c>
      <c r="P24" s="22" t="n">
        <f aca="false">SUMIFS(Airbnb!$G:$G,Airbnb!$A:$A,"&gt;="&amp;DATE(2026,9,1),Airbnb!$A:$A,"&lt;="&amp;DATE(2026,9,30))</f>
        <v>0</v>
      </c>
      <c r="Q24" s="53" t="n">
        <f aca="false">IFERROR(AVERAGEIFS(Airbnb!$H:$H,Airbnb!$A:$A,"&gt;="&amp;DATE(2026,9,1),Airbnb!$A:$A,"&lt;="&amp;DATE(2026,9,30)),0)</f>
        <v>0</v>
      </c>
    </row>
    <row r="25" customFormat="false" ht="15" hidden="false" customHeight="true" outlineLevel="0" collapsed="false">
      <c r="A25" s="24" t="s">
        <v>202</v>
      </c>
      <c r="B25" s="24" t="n">
        <f aca="false">SUMIFS(Facebook!$F:$F,Facebook!$A:$A,"&gt;="&amp;DATE(2026,10,1),Facebook!$A:$A,"&lt;="&amp;DATE(2026,10,31))</f>
        <v>0</v>
      </c>
      <c r="C25" s="24" t="n">
        <f aca="false">SUMIFS(Facebook!$E:$E,Facebook!$A:$A,"&gt;="&amp;DATE(2026,10,1),Facebook!$A:$A,"&lt;="&amp;DATE(2026,10,31))</f>
        <v>0</v>
      </c>
      <c r="D25" s="24" t="n">
        <f aca="false">SUMIFS(Facebook!$H:$H,Facebook!$A:$A,"&gt;="&amp;DATE(2026,10,1),Facebook!$A:$A,"&lt;="&amp;DATE(2026,10,31))</f>
        <v>0</v>
      </c>
      <c r="E25" s="24" t="n">
        <f aca="false">SUMIFS(Facebook!$I:$I,Facebook!$A:$A,"&gt;="&amp;DATE(2026,10,1),Facebook!$A:$A,"&lt;="&amp;DATE(2026,10,31))</f>
        <v>0</v>
      </c>
      <c r="F25" s="24" t="n">
        <f aca="false">SUMIFS(Instagram!$F:$F,Instagram!$A:$A,"&gt;="&amp;DATE(2026,10,1),Instagram!$A:$A,"&lt;="&amp;DATE(2026,10,31))</f>
        <v>0</v>
      </c>
      <c r="G25" s="24" t="n">
        <f aca="false">SUMIFS(Instagram!$E:$E,Instagram!$A:$A,"&gt;="&amp;DATE(2026,10,1),Instagram!$A:$A,"&lt;="&amp;DATE(2026,10,31))</f>
        <v>0</v>
      </c>
      <c r="H25" s="24" t="n">
        <f aca="false">SUMIFS(Instagram!$H:$H,Instagram!$A:$A,"&gt;="&amp;DATE(2026,10,1),Instagram!$A:$A,"&lt;="&amp;DATE(2026,10,31))</f>
        <v>0</v>
      </c>
      <c r="I25" s="24" t="n">
        <f aca="false">SUMIFS(Instagram!$I:$I,Instagram!$A:$A,"&gt;="&amp;DATE(2026,10,1),Instagram!$A:$A,"&lt;="&amp;DATE(2026,10,31))</f>
        <v>0</v>
      </c>
      <c r="J25" s="24" t="n">
        <f aca="false">SUMIFS(Website!$B:$B,Website!$A:$A,"&gt;="&amp;DATE(2026,10,1),Website!$A:$A,"&lt;="&amp;DATE(2026,10,31))</f>
        <v>0</v>
      </c>
      <c r="K25" s="24" t="n">
        <f aca="false">SUMIFS(Website!$C:$C,Website!$A:$A,"&gt;="&amp;DATE(2026,10,1),Website!$A:$A,"&lt;="&amp;DATE(2026,10,31))</f>
        <v>0</v>
      </c>
      <c r="L25" s="24" t="n">
        <f aca="false">SUMIFS(Website!$F:$F,Website!$A:$A,"&gt;="&amp;DATE(2026,10,1),Website!$A:$A,"&lt;="&amp;DATE(2026,10,31))</f>
        <v>0</v>
      </c>
      <c r="M25" s="24" t="n">
        <f aca="false">SUMIFS(Airbnb!$C:$C,Airbnb!$A:$A,"&gt;="&amp;DATE(2026,10,1),Airbnb!$A:$A,"&lt;="&amp;DATE(2026,10,31))</f>
        <v>0</v>
      </c>
      <c r="N25" s="24" t="n">
        <f aca="false">SUMIFS(Airbnb!$D:$D,Airbnb!$A:$A,"&gt;="&amp;DATE(2026,10,1),Airbnb!$A:$A,"&lt;="&amp;DATE(2026,10,31))</f>
        <v>0</v>
      </c>
      <c r="O25" s="24" t="n">
        <f aca="false">SUMIFS(Airbnb!$E:$E,Airbnb!$A:$A,"&gt;="&amp;DATE(2026,10,1),Airbnb!$A:$A,"&lt;="&amp;DATE(2026,10,31))</f>
        <v>0</v>
      </c>
      <c r="P25" s="25" t="n">
        <f aca="false">SUMIFS(Airbnb!$G:$G,Airbnb!$A:$A,"&gt;="&amp;DATE(2026,10,1),Airbnb!$A:$A,"&lt;="&amp;DATE(2026,10,31))</f>
        <v>0</v>
      </c>
      <c r="Q25" s="54" t="n">
        <f aca="false">IFERROR(AVERAGEIFS(Airbnb!$H:$H,Airbnb!$A:$A,"&gt;="&amp;DATE(2026,10,1),Airbnb!$A:$A,"&lt;="&amp;DATE(2026,10,31)),0)</f>
        <v>0</v>
      </c>
    </row>
    <row r="26" customFormat="false" ht="15" hidden="false" customHeight="true" outlineLevel="0" collapsed="false">
      <c r="A26" s="21" t="s">
        <v>203</v>
      </c>
      <c r="B26" s="21" t="n">
        <f aca="false">SUMIFS(Facebook!$F:$F,Facebook!$A:$A,"&gt;="&amp;DATE(2026,11,1),Facebook!$A:$A,"&lt;="&amp;DATE(2026,11,30))</f>
        <v>0</v>
      </c>
      <c r="C26" s="21" t="n">
        <f aca="false">SUMIFS(Facebook!$E:$E,Facebook!$A:$A,"&gt;="&amp;DATE(2026,11,1),Facebook!$A:$A,"&lt;="&amp;DATE(2026,11,30))</f>
        <v>0</v>
      </c>
      <c r="D26" s="21" t="n">
        <f aca="false">SUMIFS(Facebook!$H:$H,Facebook!$A:$A,"&gt;="&amp;DATE(2026,11,1),Facebook!$A:$A,"&lt;="&amp;DATE(2026,11,30))</f>
        <v>0</v>
      </c>
      <c r="E26" s="21" t="n">
        <f aca="false">SUMIFS(Facebook!$I:$I,Facebook!$A:$A,"&gt;="&amp;DATE(2026,11,1),Facebook!$A:$A,"&lt;="&amp;DATE(2026,11,30))</f>
        <v>0</v>
      </c>
      <c r="F26" s="21" t="n">
        <f aca="false">SUMIFS(Instagram!$F:$F,Instagram!$A:$A,"&gt;="&amp;DATE(2026,11,1),Instagram!$A:$A,"&lt;="&amp;DATE(2026,11,30))</f>
        <v>0</v>
      </c>
      <c r="G26" s="21" t="n">
        <f aca="false">SUMIFS(Instagram!$E:$E,Instagram!$A:$A,"&gt;="&amp;DATE(2026,11,1),Instagram!$A:$A,"&lt;="&amp;DATE(2026,11,30))</f>
        <v>0</v>
      </c>
      <c r="H26" s="21" t="n">
        <f aca="false">SUMIFS(Instagram!$H:$H,Instagram!$A:$A,"&gt;="&amp;DATE(2026,11,1),Instagram!$A:$A,"&lt;="&amp;DATE(2026,11,30))</f>
        <v>0</v>
      </c>
      <c r="I26" s="21" t="n">
        <f aca="false">SUMIFS(Instagram!$I:$I,Instagram!$A:$A,"&gt;="&amp;DATE(2026,11,1),Instagram!$A:$A,"&lt;="&amp;DATE(2026,11,30))</f>
        <v>0</v>
      </c>
      <c r="J26" s="21" t="n">
        <f aca="false">SUMIFS(Website!$B:$B,Website!$A:$A,"&gt;="&amp;DATE(2026,11,1),Website!$A:$A,"&lt;="&amp;DATE(2026,11,30))</f>
        <v>0</v>
      </c>
      <c r="K26" s="21" t="n">
        <f aca="false">SUMIFS(Website!$C:$C,Website!$A:$A,"&gt;="&amp;DATE(2026,11,1),Website!$A:$A,"&lt;="&amp;DATE(2026,11,30))</f>
        <v>0</v>
      </c>
      <c r="L26" s="21" t="n">
        <f aca="false">SUMIFS(Website!$F:$F,Website!$A:$A,"&gt;="&amp;DATE(2026,11,1),Website!$A:$A,"&lt;="&amp;DATE(2026,11,30))</f>
        <v>0</v>
      </c>
      <c r="M26" s="21" t="n">
        <f aca="false">SUMIFS(Airbnb!$C:$C,Airbnb!$A:$A,"&gt;="&amp;DATE(2026,11,1),Airbnb!$A:$A,"&lt;="&amp;DATE(2026,11,30))</f>
        <v>0</v>
      </c>
      <c r="N26" s="21" t="n">
        <f aca="false">SUMIFS(Airbnb!$D:$D,Airbnb!$A:$A,"&gt;="&amp;DATE(2026,11,1),Airbnb!$A:$A,"&lt;="&amp;DATE(2026,11,30))</f>
        <v>0</v>
      </c>
      <c r="O26" s="21" t="n">
        <f aca="false">SUMIFS(Airbnb!$E:$E,Airbnb!$A:$A,"&gt;="&amp;DATE(2026,11,1),Airbnb!$A:$A,"&lt;="&amp;DATE(2026,11,30))</f>
        <v>0</v>
      </c>
      <c r="P26" s="22" t="n">
        <f aca="false">SUMIFS(Airbnb!$G:$G,Airbnb!$A:$A,"&gt;="&amp;DATE(2026,11,1),Airbnb!$A:$A,"&lt;="&amp;DATE(2026,11,30))</f>
        <v>0</v>
      </c>
      <c r="Q26" s="53" t="n">
        <f aca="false">IFERROR(AVERAGEIFS(Airbnb!$H:$H,Airbnb!$A:$A,"&gt;="&amp;DATE(2026,11,1),Airbnb!$A:$A,"&lt;="&amp;DATE(2026,11,30)),0)</f>
        <v>0</v>
      </c>
    </row>
    <row r="27" customFormat="false" ht="15" hidden="false" customHeight="true" outlineLevel="0" collapsed="false">
      <c r="A27" s="24" t="s">
        <v>204</v>
      </c>
      <c r="B27" s="24" t="n">
        <f aca="false">SUMIFS(Facebook!$F:$F,Facebook!$A:$A,"&gt;="&amp;DATE(2026,12,1),Facebook!$A:$A,"&lt;="&amp;DATE(2026,12,31))</f>
        <v>0</v>
      </c>
      <c r="C27" s="24" t="n">
        <f aca="false">SUMIFS(Facebook!$E:$E,Facebook!$A:$A,"&gt;="&amp;DATE(2026,12,1),Facebook!$A:$A,"&lt;="&amp;DATE(2026,12,31))</f>
        <v>0</v>
      </c>
      <c r="D27" s="24" t="n">
        <f aca="false">SUMIFS(Facebook!$H:$H,Facebook!$A:$A,"&gt;="&amp;DATE(2026,12,1),Facebook!$A:$A,"&lt;="&amp;DATE(2026,12,31))</f>
        <v>0</v>
      </c>
      <c r="E27" s="24" t="n">
        <f aca="false">SUMIFS(Facebook!$I:$I,Facebook!$A:$A,"&gt;="&amp;DATE(2026,12,1),Facebook!$A:$A,"&lt;="&amp;DATE(2026,12,31))</f>
        <v>0</v>
      </c>
      <c r="F27" s="24" t="n">
        <f aca="false">SUMIFS(Instagram!$F:$F,Instagram!$A:$A,"&gt;="&amp;DATE(2026,12,1),Instagram!$A:$A,"&lt;="&amp;DATE(2026,12,31))</f>
        <v>0</v>
      </c>
      <c r="G27" s="24" t="n">
        <f aca="false">SUMIFS(Instagram!$E:$E,Instagram!$A:$A,"&gt;="&amp;DATE(2026,12,1),Instagram!$A:$A,"&lt;="&amp;DATE(2026,12,31))</f>
        <v>0</v>
      </c>
      <c r="H27" s="24" t="n">
        <f aca="false">SUMIFS(Instagram!$H:$H,Instagram!$A:$A,"&gt;="&amp;DATE(2026,12,1),Instagram!$A:$A,"&lt;="&amp;DATE(2026,12,31))</f>
        <v>0</v>
      </c>
      <c r="I27" s="24" t="n">
        <f aca="false">SUMIFS(Instagram!$I:$I,Instagram!$A:$A,"&gt;="&amp;DATE(2026,12,1),Instagram!$A:$A,"&lt;="&amp;DATE(2026,12,31))</f>
        <v>0</v>
      </c>
      <c r="J27" s="24" t="n">
        <f aca="false">SUMIFS(Website!$B:$B,Website!$A:$A,"&gt;="&amp;DATE(2026,12,1),Website!$A:$A,"&lt;="&amp;DATE(2026,12,31))</f>
        <v>0</v>
      </c>
      <c r="K27" s="24" t="n">
        <f aca="false">SUMIFS(Website!$C:$C,Website!$A:$A,"&gt;="&amp;DATE(2026,12,1),Website!$A:$A,"&lt;="&amp;DATE(2026,12,31))</f>
        <v>0</v>
      </c>
      <c r="L27" s="24" t="n">
        <f aca="false">SUMIFS(Website!$F:$F,Website!$A:$A,"&gt;="&amp;DATE(2026,12,1),Website!$A:$A,"&lt;="&amp;DATE(2026,12,31))</f>
        <v>0</v>
      </c>
      <c r="M27" s="24" t="n">
        <f aca="false">SUMIFS(Airbnb!$C:$C,Airbnb!$A:$A,"&gt;="&amp;DATE(2026,12,1),Airbnb!$A:$A,"&lt;="&amp;DATE(2026,12,31))</f>
        <v>0</v>
      </c>
      <c r="N27" s="24" t="n">
        <f aca="false">SUMIFS(Airbnb!$D:$D,Airbnb!$A:$A,"&gt;="&amp;DATE(2026,12,1),Airbnb!$A:$A,"&lt;="&amp;DATE(2026,12,31))</f>
        <v>0</v>
      </c>
      <c r="O27" s="24" t="n">
        <f aca="false">SUMIFS(Airbnb!$E:$E,Airbnb!$A:$A,"&gt;="&amp;DATE(2026,12,1),Airbnb!$A:$A,"&lt;="&amp;DATE(2026,12,31))</f>
        <v>0</v>
      </c>
      <c r="P27" s="25" t="n">
        <f aca="false">SUMIFS(Airbnb!$G:$G,Airbnb!$A:$A,"&gt;="&amp;DATE(2026,12,1),Airbnb!$A:$A,"&lt;="&amp;DATE(2026,12,31))</f>
        <v>0</v>
      </c>
      <c r="Q27" s="54" t="n">
        <f aca="false">IFERROR(AVERAGEIFS(Airbnb!$H:$H,Airbnb!$A:$A,"&gt;="&amp;DATE(2026,12,1),Airbnb!$A:$A,"&lt;="&amp;DATE(2026,12,31)),0)</f>
        <v>0</v>
      </c>
    </row>
    <row r="28" customFormat="false" ht="15" hidden="false" customHeight="true" outlineLevel="0" collapsed="false">
      <c r="A28" s="21" t="s">
        <v>205</v>
      </c>
      <c r="B28" s="21" t="n">
        <f aca="false">SUMIFS(Facebook!$F:$F,Facebook!$A:$A,"&gt;="&amp;DATE(2027,1,1),Facebook!$A:$A,"&lt;="&amp;DATE(2027,1,31))</f>
        <v>0</v>
      </c>
      <c r="C28" s="21" t="n">
        <f aca="false">SUMIFS(Facebook!$E:$E,Facebook!$A:$A,"&gt;="&amp;DATE(2027,1,1),Facebook!$A:$A,"&lt;="&amp;DATE(2027,1,31))</f>
        <v>0</v>
      </c>
      <c r="D28" s="21" t="n">
        <f aca="false">SUMIFS(Facebook!$H:$H,Facebook!$A:$A,"&gt;="&amp;DATE(2027,1,1),Facebook!$A:$A,"&lt;="&amp;DATE(2027,1,31))</f>
        <v>0</v>
      </c>
      <c r="E28" s="21" t="n">
        <f aca="false">SUMIFS(Facebook!$I:$I,Facebook!$A:$A,"&gt;="&amp;DATE(2027,1,1),Facebook!$A:$A,"&lt;="&amp;DATE(2027,1,31))</f>
        <v>0</v>
      </c>
      <c r="F28" s="21" t="n">
        <f aca="false">SUMIFS(Instagram!$F:$F,Instagram!$A:$A,"&gt;="&amp;DATE(2027,1,1),Instagram!$A:$A,"&lt;="&amp;DATE(2027,1,31))</f>
        <v>0</v>
      </c>
      <c r="G28" s="21" t="n">
        <f aca="false">SUMIFS(Instagram!$E:$E,Instagram!$A:$A,"&gt;="&amp;DATE(2027,1,1),Instagram!$A:$A,"&lt;="&amp;DATE(2027,1,31))</f>
        <v>0</v>
      </c>
      <c r="H28" s="21" t="n">
        <f aca="false">SUMIFS(Instagram!$H:$H,Instagram!$A:$A,"&gt;="&amp;DATE(2027,1,1),Instagram!$A:$A,"&lt;="&amp;DATE(2027,1,31))</f>
        <v>0</v>
      </c>
      <c r="I28" s="21" t="n">
        <f aca="false">SUMIFS(Instagram!$I:$I,Instagram!$A:$A,"&gt;="&amp;DATE(2027,1,1),Instagram!$A:$A,"&lt;="&amp;DATE(2027,1,31))</f>
        <v>0</v>
      </c>
      <c r="J28" s="21" t="n">
        <f aca="false">SUMIFS(Website!$B:$B,Website!$A:$A,"&gt;="&amp;DATE(2027,1,1),Website!$A:$A,"&lt;="&amp;DATE(2027,1,31))</f>
        <v>0</v>
      </c>
      <c r="K28" s="21" t="n">
        <f aca="false">SUMIFS(Website!$C:$C,Website!$A:$A,"&gt;="&amp;DATE(2027,1,1),Website!$A:$A,"&lt;="&amp;DATE(2027,1,31))</f>
        <v>0</v>
      </c>
      <c r="L28" s="21" t="n">
        <f aca="false">SUMIFS(Website!$F:$F,Website!$A:$A,"&gt;="&amp;DATE(2027,1,1),Website!$A:$A,"&lt;="&amp;DATE(2027,1,31))</f>
        <v>0</v>
      </c>
      <c r="M28" s="21" t="n">
        <f aca="false">SUMIFS(Airbnb!$C:$C,Airbnb!$A:$A,"&gt;="&amp;DATE(2027,1,1),Airbnb!$A:$A,"&lt;="&amp;DATE(2027,1,31))</f>
        <v>0</v>
      </c>
      <c r="N28" s="21" t="n">
        <f aca="false">SUMIFS(Airbnb!$D:$D,Airbnb!$A:$A,"&gt;="&amp;DATE(2027,1,1),Airbnb!$A:$A,"&lt;="&amp;DATE(2027,1,31))</f>
        <v>0</v>
      </c>
      <c r="O28" s="21" t="n">
        <f aca="false">SUMIFS(Airbnb!$E:$E,Airbnb!$A:$A,"&gt;="&amp;DATE(2027,1,1),Airbnb!$A:$A,"&lt;="&amp;DATE(2027,1,31))</f>
        <v>0</v>
      </c>
      <c r="P28" s="22" t="n">
        <f aca="false">SUMIFS(Airbnb!$G:$G,Airbnb!$A:$A,"&gt;="&amp;DATE(2027,1,1),Airbnb!$A:$A,"&lt;="&amp;DATE(2027,1,31))</f>
        <v>0</v>
      </c>
      <c r="Q28" s="53" t="n">
        <f aca="false">IFERROR(AVERAGEIFS(Airbnb!$H:$H,Airbnb!$A:$A,"&gt;="&amp;DATE(2027,1,1),Airbnb!$A:$A,"&lt;="&amp;DATE(2027,1,31)),0)</f>
        <v>0</v>
      </c>
    </row>
    <row r="29" customFormat="false" ht="15" hidden="false" customHeight="true" outlineLevel="0" collapsed="false">
      <c r="A29" s="24" t="s">
        <v>206</v>
      </c>
      <c r="B29" s="24" t="n">
        <f aca="false">SUMIFS(Facebook!$F:$F,Facebook!$A:$A,"&gt;="&amp;DATE(2027,2,1),Facebook!$A:$A,"&lt;="&amp;DATE(2027,2,28))</f>
        <v>0</v>
      </c>
      <c r="C29" s="24" t="n">
        <f aca="false">SUMIFS(Facebook!$E:$E,Facebook!$A:$A,"&gt;="&amp;DATE(2027,2,1),Facebook!$A:$A,"&lt;="&amp;DATE(2027,2,28))</f>
        <v>0</v>
      </c>
      <c r="D29" s="24" t="n">
        <f aca="false">SUMIFS(Facebook!$H:$H,Facebook!$A:$A,"&gt;="&amp;DATE(2027,2,1),Facebook!$A:$A,"&lt;="&amp;DATE(2027,2,28))</f>
        <v>0</v>
      </c>
      <c r="E29" s="24" t="n">
        <f aca="false">SUMIFS(Facebook!$I:$I,Facebook!$A:$A,"&gt;="&amp;DATE(2027,2,1),Facebook!$A:$A,"&lt;="&amp;DATE(2027,2,28))</f>
        <v>0</v>
      </c>
      <c r="F29" s="24" t="n">
        <f aca="false">SUMIFS(Instagram!$F:$F,Instagram!$A:$A,"&gt;="&amp;DATE(2027,2,1),Instagram!$A:$A,"&lt;="&amp;DATE(2027,2,28))</f>
        <v>0</v>
      </c>
      <c r="G29" s="24" t="n">
        <f aca="false">SUMIFS(Instagram!$E:$E,Instagram!$A:$A,"&gt;="&amp;DATE(2027,2,1),Instagram!$A:$A,"&lt;="&amp;DATE(2027,2,28))</f>
        <v>0</v>
      </c>
      <c r="H29" s="24" t="n">
        <f aca="false">SUMIFS(Instagram!$H:$H,Instagram!$A:$A,"&gt;="&amp;DATE(2027,2,1),Instagram!$A:$A,"&lt;="&amp;DATE(2027,2,28))</f>
        <v>0</v>
      </c>
      <c r="I29" s="24" t="n">
        <f aca="false">SUMIFS(Instagram!$I:$I,Instagram!$A:$A,"&gt;="&amp;DATE(2027,2,1),Instagram!$A:$A,"&lt;="&amp;DATE(2027,2,28))</f>
        <v>0</v>
      </c>
      <c r="J29" s="24" t="n">
        <f aca="false">SUMIFS(Website!$B:$B,Website!$A:$A,"&gt;="&amp;DATE(2027,2,1),Website!$A:$A,"&lt;="&amp;DATE(2027,2,28))</f>
        <v>0</v>
      </c>
      <c r="K29" s="24" t="n">
        <f aca="false">SUMIFS(Website!$C:$C,Website!$A:$A,"&gt;="&amp;DATE(2027,2,1),Website!$A:$A,"&lt;="&amp;DATE(2027,2,28))</f>
        <v>0</v>
      </c>
      <c r="L29" s="24" t="n">
        <f aca="false">SUMIFS(Website!$F:$F,Website!$A:$A,"&gt;="&amp;DATE(2027,2,1),Website!$A:$A,"&lt;="&amp;DATE(2027,2,28))</f>
        <v>0</v>
      </c>
      <c r="M29" s="24" t="n">
        <f aca="false">SUMIFS(Airbnb!$C:$C,Airbnb!$A:$A,"&gt;="&amp;DATE(2027,2,1),Airbnb!$A:$A,"&lt;="&amp;DATE(2027,2,28))</f>
        <v>0</v>
      </c>
      <c r="N29" s="24" t="n">
        <f aca="false">SUMIFS(Airbnb!$D:$D,Airbnb!$A:$A,"&gt;="&amp;DATE(2027,2,1),Airbnb!$A:$A,"&lt;="&amp;DATE(2027,2,28))</f>
        <v>0</v>
      </c>
      <c r="O29" s="24" t="n">
        <f aca="false">SUMIFS(Airbnb!$E:$E,Airbnb!$A:$A,"&gt;="&amp;DATE(2027,2,1),Airbnb!$A:$A,"&lt;="&amp;DATE(2027,2,28))</f>
        <v>0</v>
      </c>
      <c r="P29" s="25" t="n">
        <f aca="false">SUMIFS(Airbnb!$G:$G,Airbnb!$A:$A,"&gt;="&amp;DATE(2027,2,1),Airbnb!$A:$A,"&lt;="&amp;DATE(2027,2,28))</f>
        <v>0</v>
      </c>
      <c r="Q29" s="54" t="n">
        <f aca="false">IFERROR(AVERAGEIFS(Airbnb!$H:$H,Airbnb!$A:$A,"&gt;="&amp;DATE(2027,2,1),Airbnb!$A:$A,"&lt;="&amp;DATE(2027,2,28)),0)</f>
        <v>0</v>
      </c>
    </row>
    <row r="30" customFormat="false" ht="15" hidden="false" customHeight="true" outlineLevel="0" collapsed="false">
      <c r="A30" s="21" t="s">
        <v>207</v>
      </c>
      <c r="B30" s="21" t="n">
        <f aca="false">SUMIFS(Facebook!$F:$F,Facebook!$A:$A,"&gt;="&amp;DATE(2027,3,1),Facebook!$A:$A,"&lt;="&amp;DATE(2027,3,31))</f>
        <v>0</v>
      </c>
      <c r="C30" s="21" t="n">
        <f aca="false">SUMIFS(Facebook!$E:$E,Facebook!$A:$A,"&gt;="&amp;DATE(2027,3,1),Facebook!$A:$A,"&lt;="&amp;DATE(2027,3,31))</f>
        <v>0</v>
      </c>
      <c r="D30" s="21" t="n">
        <f aca="false">SUMIFS(Facebook!$H:$H,Facebook!$A:$A,"&gt;="&amp;DATE(2027,3,1),Facebook!$A:$A,"&lt;="&amp;DATE(2027,3,31))</f>
        <v>0</v>
      </c>
      <c r="E30" s="21" t="n">
        <f aca="false">SUMIFS(Facebook!$I:$I,Facebook!$A:$A,"&gt;="&amp;DATE(2027,3,1),Facebook!$A:$A,"&lt;="&amp;DATE(2027,3,31))</f>
        <v>0</v>
      </c>
      <c r="F30" s="21" t="n">
        <f aca="false">SUMIFS(Instagram!$F:$F,Instagram!$A:$A,"&gt;="&amp;DATE(2027,3,1),Instagram!$A:$A,"&lt;="&amp;DATE(2027,3,31))</f>
        <v>0</v>
      </c>
      <c r="G30" s="21" t="n">
        <f aca="false">SUMIFS(Instagram!$E:$E,Instagram!$A:$A,"&gt;="&amp;DATE(2027,3,1),Instagram!$A:$A,"&lt;="&amp;DATE(2027,3,31))</f>
        <v>0</v>
      </c>
      <c r="H30" s="21" t="n">
        <f aca="false">SUMIFS(Instagram!$H:$H,Instagram!$A:$A,"&gt;="&amp;DATE(2027,3,1),Instagram!$A:$A,"&lt;="&amp;DATE(2027,3,31))</f>
        <v>0</v>
      </c>
      <c r="I30" s="21" t="n">
        <f aca="false">SUMIFS(Instagram!$I:$I,Instagram!$A:$A,"&gt;="&amp;DATE(2027,3,1),Instagram!$A:$A,"&lt;="&amp;DATE(2027,3,31))</f>
        <v>0</v>
      </c>
      <c r="J30" s="21" t="n">
        <f aca="false">SUMIFS(Website!$B:$B,Website!$A:$A,"&gt;="&amp;DATE(2027,3,1),Website!$A:$A,"&lt;="&amp;DATE(2027,3,31))</f>
        <v>0</v>
      </c>
      <c r="K30" s="21" t="n">
        <f aca="false">SUMIFS(Website!$C:$C,Website!$A:$A,"&gt;="&amp;DATE(2027,3,1),Website!$A:$A,"&lt;="&amp;DATE(2027,3,31))</f>
        <v>0</v>
      </c>
      <c r="L30" s="21" t="n">
        <f aca="false">SUMIFS(Website!$F:$F,Website!$A:$A,"&gt;="&amp;DATE(2027,3,1),Website!$A:$A,"&lt;="&amp;DATE(2027,3,31))</f>
        <v>0</v>
      </c>
      <c r="M30" s="21" t="n">
        <f aca="false">SUMIFS(Airbnb!$C:$C,Airbnb!$A:$A,"&gt;="&amp;DATE(2027,3,1),Airbnb!$A:$A,"&lt;="&amp;DATE(2027,3,31))</f>
        <v>0</v>
      </c>
      <c r="N30" s="21" t="n">
        <f aca="false">SUMIFS(Airbnb!$D:$D,Airbnb!$A:$A,"&gt;="&amp;DATE(2027,3,1),Airbnb!$A:$A,"&lt;="&amp;DATE(2027,3,31))</f>
        <v>0</v>
      </c>
      <c r="O30" s="21" t="n">
        <f aca="false">SUMIFS(Airbnb!$E:$E,Airbnb!$A:$A,"&gt;="&amp;DATE(2027,3,1),Airbnb!$A:$A,"&lt;="&amp;DATE(2027,3,31))</f>
        <v>0</v>
      </c>
      <c r="P30" s="22" t="n">
        <f aca="false">SUMIFS(Airbnb!$G:$G,Airbnb!$A:$A,"&gt;="&amp;DATE(2027,3,1),Airbnb!$A:$A,"&lt;="&amp;DATE(2027,3,31))</f>
        <v>0</v>
      </c>
      <c r="Q30" s="53" t="n">
        <f aca="false">IFERROR(AVERAGEIFS(Airbnb!$H:$H,Airbnb!$A:$A,"&gt;="&amp;DATE(2027,3,1),Airbnb!$A:$A,"&lt;="&amp;DATE(2027,3,31)),0)</f>
        <v>0</v>
      </c>
    </row>
    <row r="31" customFormat="false" ht="15" hidden="false" customHeight="true" outlineLevel="0" collapsed="false">
      <c r="A31" s="24" t="s">
        <v>208</v>
      </c>
      <c r="B31" s="24" t="n">
        <f aca="false">SUMIFS(Facebook!$F:$F,Facebook!$A:$A,"&gt;="&amp;DATE(2027,4,1),Facebook!$A:$A,"&lt;="&amp;DATE(2027,4,30))</f>
        <v>0</v>
      </c>
      <c r="C31" s="24" t="n">
        <f aca="false">SUMIFS(Facebook!$E:$E,Facebook!$A:$A,"&gt;="&amp;DATE(2027,4,1),Facebook!$A:$A,"&lt;="&amp;DATE(2027,4,30))</f>
        <v>0</v>
      </c>
      <c r="D31" s="24" t="n">
        <f aca="false">SUMIFS(Facebook!$H:$H,Facebook!$A:$A,"&gt;="&amp;DATE(2027,4,1),Facebook!$A:$A,"&lt;="&amp;DATE(2027,4,30))</f>
        <v>0</v>
      </c>
      <c r="E31" s="24" t="n">
        <f aca="false">SUMIFS(Facebook!$I:$I,Facebook!$A:$A,"&gt;="&amp;DATE(2027,4,1),Facebook!$A:$A,"&lt;="&amp;DATE(2027,4,30))</f>
        <v>0</v>
      </c>
      <c r="F31" s="24" t="n">
        <f aca="false">SUMIFS(Instagram!$F:$F,Instagram!$A:$A,"&gt;="&amp;DATE(2027,4,1),Instagram!$A:$A,"&lt;="&amp;DATE(2027,4,30))</f>
        <v>0</v>
      </c>
      <c r="G31" s="24" t="n">
        <f aca="false">SUMIFS(Instagram!$E:$E,Instagram!$A:$A,"&gt;="&amp;DATE(2027,4,1),Instagram!$A:$A,"&lt;="&amp;DATE(2027,4,30))</f>
        <v>0</v>
      </c>
      <c r="H31" s="24" t="n">
        <f aca="false">SUMIFS(Instagram!$H:$H,Instagram!$A:$A,"&gt;="&amp;DATE(2027,4,1),Instagram!$A:$A,"&lt;="&amp;DATE(2027,4,30))</f>
        <v>0</v>
      </c>
      <c r="I31" s="24" t="n">
        <f aca="false">SUMIFS(Instagram!$I:$I,Instagram!$A:$A,"&gt;="&amp;DATE(2027,4,1),Instagram!$A:$A,"&lt;="&amp;DATE(2027,4,30))</f>
        <v>0</v>
      </c>
      <c r="J31" s="24" t="n">
        <f aca="false">SUMIFS(Website!$B:$B,Website!$A:$A,"&gt;="&amp;DATE(2027,4,1),Website!$A:$A,"&lt;="&amp;DATE(2027,4,30))</f>
        <v>0</v>
      </c>
      <c r="K31" s="24" t="n">
        <f aca="false">SUMIFS(Website!$C:$C,Website!$A:$A,"&gt;="&amp;DATE(2027,4,1),Website!$A:$A,"&lt;="&amp;DATE(2027,4,30))</f>
        <v>0</v>
      </c>
      <c r="L31" s="24" t="n">
        <f aca="false">SUMIFS(Website!$F:$F,Website!$A:$A,"&gt;="&amp;DATE(2027,4,1),Website!$A:$A,"&lt;="&amp;DATE(2027,4,30))</f>
        <v>0</v>
      </c>
      <c r="M31" s="24" t="n">
        <f aca="false">SUMIFS(Airbnb!$C:$C,Airbnb!$A:$A,"&gt;="&amp;DATE(2027,4,1),Airbnb!$A:$A,"&lt;="&amp;DATE(2027,4,30))</f>
        <v>0</v>
      </c>
      <c r="N31" s="24" t="n">
        <f aca="false">SUMIFS(Airbnb!$D:$D,Airbnb!$A:$A,"&gt;="&amp;DATE(2027,4,1),Airbnb!$A:$A,"&lt;="&amp;DATE(2027,4,30))</f>
        <v>0</v>
      </c>
      <c r="O31" s="24" t="n">
        <f aca="false">SUMIFS(Airbnb!$E:$E,Airbnb!$A:$A,"&gt;="&amp;DATE(2027,4,1),Airbnb!$A:$A,"&lt;="&amp;DATE(2027,4,30))</f>
        <v>0</v>
      </c>
      <c r="P31" s="25" t="n">
        <f aca="false">SUMIFS(Airbnb!$G:$G,Airbnb!$A:$A,"&gt;="&amp;DATE(2027,4,1),Airbnb!$A:$A,"&lt;="&amp;DATE(2027,4,30))</f>
        <v>0</v>
      </c>
      <c r="Q31" s="54" t="n">
        <f aca="false">IFERROR(AVERAGEIFS(Airbnb!$H:$H,Airbnb!$A:$A,"&gt;="&amp;DATE(2027,4,1),Airbnb!$A:$A,"&lt;="&amp;DATE(2027,4,30)),0)</f>
        <v>0</v>
      </c>
    </row>
    <row r="32" customFormat="false" ht="15" hidden="false" customHeight="true" outlineLevel="0" collapsed="false">
      <c r="A32" s="21" t="s">
        <v>209</v>
      </c>
      <c r="B32" s="21" t="n">
        <f aca="false">SUMIFS(Facebook!$F:$F,Facebook!$A:$A,"&gt;="&amp;DATE(2027,5,1),Facebook!$A:$A,"&lt;="&amp;DATE(2027,5,31))</f>
        <v>0</v>
      </c>
      <c r="C32" s="21" t="n">
        <f aca="false">SUMIFS(Facebook!$E:$E,Facebook!$A:$A,"&gt;="&amp;DATE(2027,5,1),Facebook!$A:$A,"&lt;="&amp;DATE(2027,5,31))</f>
        <v>0</v>
      </c>
      <c r="D32" s="21" t="n">
        <f aca="false">SUMIFS(Facebook!$H:$H,Facebook!$A:$A,"&gt;="&amp;DATE(2027,5,1),Facebook!$A:$A,"&lt;="&amp;DATE(2027,5,31))</f>
        <v>0</v>
      </c>
      <c r="E32" s="21" t="n">
        <f aca="false">SUMIFS(Facebook!$I:$I,Facebook!$A:$A,"&gt;="&amp;DATE(2027,5,1),Facebook!$A:$A,"&lt;="&amp;DATE(2027,5,31))</f>
        <v>0</v>
      </c>
      <c r="F32" s="21" t="n">
        <f aca="false">SUMIFS(Instagram!$F:$F,Instagram!$A:$A,"&gt;="&amp;DATE(2027,5,1),Instagram!$A:$A,"&lt;="&amp;DATE(2027,5,31))</f>
        <v>0</v>
      </c>
      <c r="G32" s="21" t="n">
        <f aca="false">SUMIFS(Instagram!$E:$E,Instagram!$A:$A,"&gt;="&amp;DATE(2027,5,1),Instagram!$A:$A,"&lt;="&amp;DATE(2027,5,31))</f>
        <v>0</v>
      </c>
      <c r="H32" s="21" t="n">
        <f aca="false">SUMIFS(Instagram!$H:$H,Instagram!$A:$A,"&gt;="&amp;DATE(2027,5,1),Instagram!$A:$A,"&lt;="&amp;DATE(2027,5,31))</f>
        <v>0</v>
      </c>
      <c r="I32" s="21" t="n">
        <f aca="false">SUMIFS(Instagram!$I:$I,Instagram!$A:$A,"&gt;="&amp;DATE(2027,5,1),Instagram!$A:$A,"&lt;="&amp;DATE(2027,5,31))</f>
        <v>0</v>
      </c>
      <c r="J32" s="21" t="n">
        <f aca="false">SUMIFS(Website!$B:$B,Website!$A:$A,"&gt;="&amp;DATE(2027,5,1),Website!$A:$A,"&lt;="&amp;DATE(2027,5,31))</f>
        <v>0</v>
      </c>
      <c r="K32" s="21" t="n">
        <f aca="false">SUMIFS(Website!$C:$C,Website!$A:$A,"&gt;="&amp;DATE(2027,5,1),Website!$A:$A,"&lt;="&amp;DATE(2027,5,31))</f>
        <v>0</v>
      </c>
      <c r="L32" s="21" t="n">
        <f aca="false">SUMIFS(Website!$F:$F,Website!$A:$A,"&gt;="&amp;DATE(2027,5,1),Website!$A:$A,"&lt;="&amp;DATE(2027,5,31))</f>
        <v>0</v>
      </c>
      <c r="M32" s="21" t="n">
        <f aca="false">SUMIFS(Airbnb!$C:$C,Airbnb!$A:$A,"&gt;="&amp;DATE(2027,5,1),Airbnb!$A:$A,"&lt;="&amp;DATE(2027,5,31))</f>
        <v>0</v>
      </c>
      <c r="N32" s="21" t="n">
        <f aca="false">SUMIFS(Airbnb!$D:$D,Airbnb!$A:$A,"&gt;="&amp;DATE(2027,5,1),Airbnb!$A:$A,"&lt;="&amp;DATE(2027,5,31))</f>
        <v>0</v>
      </c>
      <c r="O32" s="21" t="n">
        <f aca="false">SUMIFS(Airbnb!$E:$E,Airbnb!$A:$A,"&gt;="&amp;DATE(2027,5,1),Airbnb!$A:$A,"&lt;="&amp;DATE(2027,5,31))</f>
        <v>0</v>
      </c>
      <c r="P32" s="22" t="n">
        <f aca="false">SUMIFS(Airbnb!$G:$G,Airbnb!$A:$A,"&gt;="&amp;DATE(2027,5,1),Airbnb!$A:$A,"&lt;="&amp;DATE(2027,5,31))</f>
        <v>0</v>
      </c>
      <c r="Q32" s="53" t="n">
        <f aca="false">IFERROR(AVERAGEIFS(Airbnb!$H:$H,Airbnb!$A:$A,"&gt;="&amp;DATE(2027,5,1),Airbnb!$A:$A,"&lt;="&amp;DATE(2027,5,31)),0)</f>
        <v>0</v>
      </c>
    </row>
    <row r="33" customFormat="false" ht="15" hidden="false" customHeight="true" outlineLevel="0" collapsed="false">
      <c r="A33" s="24" t="s">
        <v>210</v>
      </c>
      <c r="B33" s="24" t="n">
        <f aca="false">SUMIFS(Facebook!$F:$F,Facebook!$A:$A,"&gt;="&amp;DATE(2027,6,1),Facebook!$A:$A,"&lt;="&amp;DATE(2027,6,30))</f>
        <v>0</v>
      </c>
      <c r="C33" s="24" t="n">
        <f aca="false">SUMIFS(Facebook!$E:$E,Facebook!$A:$A,"&gt;="&amp;DATE(2027,6,1),Facebook!$A:$A,"&lt;="&amp;DATE(2027,6,30))</f>
        <v>0</v>
      </c>
      <c r="D33" s="24" t="n">
        <f aca="false">SUMIFS(Facebook!$H:$H,Facebook!$A:$A,"&gt;="&amp;DATE(2027,6,1),Facebook!$A:$A,"&lt;="&amp;DATE(2027,6,30))</f>
        <v>0</v>
      </c>
      <c r="E33" s="24" t="n">
        <f aca="false">SUMIFS(Facebook!$I:$I,Facebook!$A:$A,"&gt;="&amp;DATE(2027,6,1),Facebook!$A:$A,"&lt;="&amp;DATE(2027,6,30))</f>
        <v>0</v>
      </c>
      <c r="F33" s="24" t="n">
        <f aca="false">SUMIFS(Instagram!$F:$F,Instagram!$A:$A,"&gt;="&amp;DATE(2027,6,1),Instagram!$A:$A,"&lt;="&amp;DATE(2027,6,30))</f>
        <v>0</v>
      </c>
      <c r="G33" s="24" t="n">
        <f aca="false">SUMIFS(Instagram!$E:$E,Instagram!$A:$A,"&gt;="&amp;DATE(2027,6,1),Instagram!$A:$A,"&lt;="&amp;DATE(2027,6,30))</f>
        <v>0</v>
      </c>
      <c r="H33" s="24" t="n">
        <f aca="false">SUMIFS(Instagram!$H:$H,Instagram!$A:$A,"&gt;="&amp;DATE(2027,6,1),Instagram!$A:$A,"&lt;="&amp;DATE(2027,6,30))</f>
        <v>0</v>
      </c>
      <c r="I33" s="24" t="n">
        <f aca="false">SUMIFS(Instagram!$I:$I,Instagram!$A:$A,"&gt;="&amp;DATE(2027,6,1),Instagram!$A:$A,"&lt;="&amp;DATE(2027,6,30))</f>
        <v>0</v>
      </c>
      <c r="J33" s="24" t="n">
        <f aca="false">SUMIFS(Website!$B:$B,Website!$A:$A,"&gt;="&amp;DATE(2027,6,1),Website!$A:$A,"&lt;="&amp;DATE(2027,6,30))</f>
        <v>0</v>
      </c>
      <c r="K33" s="24" t="n">
        <f aca="false">SUMIFS(Website!$C:$C,Website!$A:$A,"&gt;="&amp;DATE(2027,6,1),Website!$A:$A,"&lt;="&amp;DATE(2027,6,30))</f>
        <v>0</v>
      </c>
      <c r="L33" s="24" t="n">
        <f aca="false">SUMIFS(Website!$F:$F,Website!$A:$A,"&gt;="&amp;DATE(2027,6,1),Website!$A:$A,"&lt;="&amp;DATE(2027,6,30))</f>
        <v>0</v>
      </c>
      <c r="M33" s="24" t="n">
        <f aca="false">SUMIFS(Airbnb!$C:$C,Airbnb!$A:$A,"&gt;="&amp;DATE(2027,6,1),Airbnb!$A:$A,"&lt;="&amp;DATE(2027,6,30))</f>
        <v>0</v>
      </c>
      <c r="N33" s="24" t="n">
        <f aca="false">SUMIFS(Airbnb!$D:$D,Airbnb!$A:$A,"&gt;="&amp;DATE(2027,6,1),Airbnb!$A:$A,"&lt;="&amp;DATE(2027,6,30))</f>
        <v>0</v>
      </c>
      <c r="O33" s="24" t="n">
        <f aca="false">SUMIFS(Airbnb!$E:$E,Airbnb!$A:$A,"&gt;="&amp;DATE(2027,6,1),Airbnb!$A:$A,"&lt;="&amp;DATE(2027,6,30))</f>
        <v>0</v>
      </c>
      <c r="P33" s="25" t="n">
        <f aca="false">SUMIFS(Airbnb!$G:$G,Airbnb!$A:$A,"&gt;="&amp;DATE(2027,6,1),Airbnb!$A:$A,"&lt;="&amp;DATE(2027,6,30))</f>
        <v>0</v>
      </c>
      <c r="Q33" s="54" t="n">
        <f aca="false">IFERROR(AVERAGEIFS(Airbnb!$H:$H,Airbnb!$A:$A,"&gt;="&amp;DATE(2027,6,1),Airbnb!$A:$A,"&lt;="&amp;DATE(2027,6,30)),0)</f>
        <v>0</v>
      </c>
    </row>
    <row r="34" customFormat="false" ht="15" hidden="false" customHeight="true" outlineLevel="0" collapsed="false">
      <c r="A34" s="21" t="s">
        <v>211</v>
      </c>
      <c r="B34" s="21" t="n">
        <f aca="false">SUMIFS(Facebook!$F:$F,Facebook!$A:$A,"&gt;="&amp;DATE(2027,7,1),Facebook!$A:$A,"&lt;="&amp;DATE(2027,7,31))</f>
        <v>0</v>
      </c>
      <c r="C34" s="21" t="n">
        <f aca="false">SUMIFS(Facebook!$E:$E,Facebook!$A:$A,"&gt;="&amp;DATE(2027,7,1),Facebook!$A:$A,"&lt;="&amp;DATE(2027,7,31))</f>
        <v>0</v>
      </c>
      <c r="D34" s="21" t="n">
        <f aca="false">SUMIFS(Facebook!$H:$H,Facebook!$A:$A,"&gt;="&amp;DATE(2027,7,1),Facebook!$A:$A,"&lt;="&amp;DATE(2027,7,31))</f>
        <v>0</v>
      </c>
      <c r="E34" s="21" t="n">
        <f aca="false">SUMIFS(Facebook!$I:$I,Facebook!$A:$A,"&gt;="&amp;DATE(2027,7,1),Facebook!$A:$A,"&lt;="&amp;DATE(2027,7,31))</f>
        <v>0</v>
      </c>
      <c r="F34" s="21" t="n">
        <f aca="false">SUMIFS(Instagram!$F:$F,Instagram!$A:$A,"&gt;="&amp;DATE(2027,7,1),Instagram!$A:$A,"&lt;="&amp;DATE(2027,7,31))</f>
        <v>0</v>
      </c>
      <c r="G34" s="21" t="n">
        <f aca="false">SUMIFS(Instagram!$E:$E,Instagram!$A:$A,"&gt;="&amp;DATE(2027,7,1),Instagram!$A:$A,"&lt;="&amp;DATE(2027,7,31))</f>
        <v>0</v>
      </c>
      <c r="H34" s="21" t="n">
        <f aca="false">SUMIFS(Instagram!$H:$H,Instagram!$A:$A,"&gt;="&amp;DATE(2027,7,1),Instagram!$A:$A,"&lt;="&amp;DATE(2027,7,31))</f>
        <v>0</v>
      </c>
      <c r="I34" s="21" t="n">
        <f aca="false">SUMIFS(Instagram!$I:$I,Instagram!$A:$A,"&gt;="&amp;DATE(2027,7,1),Instagram!$A:$A,"&lt;="&amp;DATE(2027,7,31))</f>
        <v>0</v>
      </c>
      <c r="J34" s="21" t="n">
        <f aca="false">SUMIFS(Website!$B:$B,Website!$A:$A,"&gt;="&amp;DATE(2027,7,1),Website!$A:$A,"&lt;="&amp;DATE(2027,7,31))</f>
        <v>0</v>
      </c>
      <c r="K34" s="21" t="n">
        <f aca="false">SUMIFS(Website!$C:$C,Website!$A:$A,"&gt;="&amp;DATE(2027,7,1),Website!$A:$A,"&lt;="&amp;DATE(2027,7,31))</f>
        <v>0</v>
      </c>
      <c r="L34" s="21" t="n">
        <f aca="false">SUMIFS(Website!$F:$F,Website!$A:$A,"&gt;="&amp;DATE(2027,7,1),Website!$A:$A,"&lt;="&amp;DATE(2027,7,31))</f>
        <v>0</v>
      </c>
      <c r="M34" s="21" t="n">
        <f aca="false">SUMIFS(Airbnb!$C:$C,Airbnb!$A:$A,"&gt;="&amp;DATE(2027,7,1),Airbnb!$A:$A,"&lt;="&amp;DATE(2027,7,31))</f>
        <v>0</v>
      </c>
      <c r="N34" s="21" t="n">
        <f aca="false">SUMIFS(Airbnb!$D:$D,Airbnb!$A:$A,"&gt;="&amp;DATE(2027,7,1),Airbnb!$A:$A,"&lt;="&amp;DATE(2027,7,31))</f>
        <v>0</v>
      </c>
      <c r="O34" s="21" t="n">
        <f aca="false">SUMIFS(Airbnb!$E:$E,Airbnb!$A:$A,"&gt;="&amp;DATE(2027,7,1),Airbnb!$A:$A,"&lt;="&amp;DATE(2027,7,31))</f>
        <v>0</v>
      </c>
      <c r="P34" s="22" t="n">
        <f aca="false">SUMIFS(Airbnb!$G:$G,Airbnb!$A:$A,"&gt;="&amp;DATE(2027,7,1),Airbnb!$A:$A,"&lt;="&amp;DATE(2027,7,31))</f>
        <v>0</v>
      </c>
      <c r="Q34" s="53" t="n">
        <f aca="false">IFERROR(AVERAGEIFS(Airbnb!$H:$H,Airbnb!$A:$A,"&gt;="&amp;DATE(2027,7,1),Airbnb!$A:$A,"&lt;="&amp;DATE(2027,7,31)),0)</f>
        <v>0</v>
      </c>
    </row>
    <row r="35" customFormat="false" ht="15" hidden="false" customHeight="true" outlineLevel="0" collapsed="false">
      <c r="A35" s="24" t="s">
        <v>212</v>
      </c>
      <c r="B35" s="24" t="n">
        <f aca="false">SUMIFS(Facebook!$F:$F,Facebook!$A:$A,"&gt;="&amp;DATE(2027,8,1),Facebook!$A:$A,"&lt;="&amp;DATE(2027,8,31))</f>
        <v>0</v>
      </c>
      <c r="C35" s="24" t="n">
        <f aca="false">SUMIFS(Facebook!$E:$E,Facebook!$A:$A,"&gt;="&amp;DATE(2027,8,1),Facebook!$A:$A,"&lt;="&amp;DATE(2027,8,31))</f>
        <v>0</v>
      </c>
      <c r="D35" s="24" t="n">
        <f aca="false">SUMIFS(Facebook!$H:$H,Facebook!$A:$A,"&gt;="&amp;DATE(2027,8,1),Facebook!$A:$A,"&lt;="&amp;DATE(2027,8,31))</f>
        <v>0</v>
      </c>
      <c r="E35" s="24" t="n">
        <f aca="false">SUMIFS(Facebook!$I:$I,Facebook!$A:$A,"&gt;="&amp;DATE(2027,8,1),Facebook!$A:$A,"&lt;="&amp;DATE(2027,8,31))</f>
        <v>0</v>
      </c>
      <c r="F35" s="24" t="n">
        <f aca="false">SUMIFS(Instagram!$F:$F,Instagram!$A:$A,"&gt;="&amp;DATE(2027,8,1),Instagram!$A:$A,"&lt;="&amp;DATE(2027,8,31))</f>
        <v>0</v>
      </c>
      <c r="G35" s="24" t="n">
        <f aca="false">SUMIFS(Instagram!$E:$E,Instagram!$A:$A,"&gt;="&amp;DATE(2027,8,1),Instagram!$A:$A,"&lt;="&amp;DATE(2027,8,31))</f>
        <v>0</v>
      </c>
      <c r="H35" s="24" t="n">
        <f aca="false">SUMIFS(Instagram!$H:$H,Instagram!$A:$A,"&gt;="&amp;DATE(2027,8,1),Instagram!$A:$A,"&lt;="&amp;DATE(2027,8,31))</f>
        <v>0</v>
      </c>
      <c r="I35" s="24" t="n">
        <f aca="false">SUMIFS(Instagram!$I:$I,Instagram!$A:$A,"&gt;="&amp;DATE(2027,8,1),Instagram!$A:$A,"&lt;="&amp;DATE(2027,8,31))</f>
        <v>0</v>
      </c>
      <c r="J35" s="24" t="n">
        <f aca="false">SUMIFS(Website!$B:$B,Website!$A:$A,"&gt;="&amp;DATE(2027,8,1),Website!$A:$A,"&lt;="&amp;DATE(2027,8,31))</f>
        <v>0</v>
      </c>
      <c r="K35" s="24" t="n">
        <f aca="false">SUMIFS(Website!$C:$C,Website!$A:$A,"&gt;="&amp;DATE(2027,8,1),Website!$A:$A,"&lt;="&amp;DATE(2027,8,31))</f>
        <v>0</v>
      </c>
      <c r="L35" s="24" t="n">
        <f aca="false">SUMIFS(Website!$F:$F,Website!$A:$A,"&gt;="&amp;DATE(2027,8,1),Website!$A:$A,"&lt;="&amp;DATE(2027,8,31))</f>
        <v>0</v>
      </c>
      <c r="M35" s="24" t="n">
        <f aca="false">SUMIFS(Airbnb!$C:$C,Airbnb!$A:$A,"&gt;="&amp;DATE(2027,8,1),Airbnb!$A:$A,"&lt;="&amp;DATE(2027,8,31))</f>
        <v>0</v>
      </c>
      <c r="N35" s="24" t="n">
        <f aca="false">SUMIFS(Airbnb!$D:$D,Airbnb!$A:$A,"&gt;="&amp;DATE(2027,8,1),Airbnb!$A:$A,"&lt;="&amp;DATE(2027,8,31))</f>
        <v>0</v>
      </c>
      <c r="O35" s="24" t="n">
        <f aca="false">SUMIFS(Airbnb!$E:$E,Airbnb!$A:$A,"&gt;="&amp;DATE(2027,8,1),Airbnb!$A:$A,"&lt;="&amp;DATE(2027,8,31))</f>
        <v>0</v>
      </c>
      <c r="P35" s="25" t="n">
        <f aca="false">SUMIFS(Airbnb!$G:$G,Airbnb!$A:$A,"&gt;="&amp;DATE(2027,8,1),Airbnb!$A:$A,"&lt;="&amp;DATE(2027,8,31))</f>
        <v>0</v>
      </c>
      <c r="Q35" s="54" t="n">
        <f aca="false">IFERROR(AVERAGEIFS(Airbnb!$H:$H,Airbnb!$A:$A,"&gt;="&amp;DATE(2027,8,1),Airbnb!$A:$A,"&lt;="&amp;DATE(2027,8,31)),0)</f>
        <v>0</v>
      </c>
    </row>
    <row r="36" customFormat="false" ht="15" hidden="false" customHeight="true" outlineLevel="0" collapsed="false">
      <c r="A36" s="21" t="s">
        <v>213</v>
      </c>
      <c r="B36" s="21" t="n">
        <f aca="false">SUMIFS(Facebook!$F:$F,Facebook!$A:$A,"&gt;="&amp;DATE(2027,9,1),Facebook!$A:$A,"&lt;="&amp;DATE(2027,9,30))</f>
        <v>0</v>
      </c>
      <c r="C36" s="21" t="n">
        <f aca="false">SUMIFS(Facebook!$E:$E,Facebook!$A:$A,"&gt;="&amp;DATE(2027,9,1),Facebook!$A:$A,"&lt;="&amp;DATE(2027,9,30))</f>
        <v>0</v>
      </c>
      <c r="D36" s="21" t="n">
        <f aca="false">SUMIFS(Facebook!$H:$H,Facebook!$A:$A,"&gt;="&amp;DATE(2027,9,1),Facebook!$A:$A,"&lt;="&amp;DATE(2027,9,30))</f>
        <v>0</v>
      </c>
      <c r="E36" s="21" t="n">
        <f aca="false">SUMIFS(Facebook!$I:$I,Facebook!$A:$A,"&gt;="&amp;DATE(2027,9,1),Facebook!$A:$A,"&lt;="&amp;DATE(2027,9,30))</f>
        <v>0</v>
      </c>
      <c r="F36" s="21" t="n">
        <f aca="false">SUMIFS(Instagram!$F:$F,Instagram!$A:$A,"&gt;="&amp;DATE(2027,9,1),Instagram!$A:$A,"&lt;="&amp;DATE(2027,9,30))</f>
        <v>0</v>
      </c>
      <c r="G36" s="21" t="n">
        <f aca="false">SUMIFS(Instagram!$E:$E,Instagram!$A:$A,"&gt;="&amp;DATE(2027,9,1),Instagram!$A:$A,"&lt;="&amp;DATE(2027,9,30))</f>
        <v>0</v>
      </c>
      <c r="H36" s="21" t="n">
        <f aca="false">SUMIFS(Instagram!$H:$H,Instagram!$A:$A,"&gt;="&amp;DATE(2027,9,1),Instagram!$A:$A,"&lt;="&amp;DATE(2027,9,30))</f>
        <v>0</v>
      </c>
      <c r="I36" s="21" t="n">
        <f aca="false">SUMIFS(Instagram!$I:$I,Instagram!$A:$A,"&gt;="&amp;DATE(2027,9,1),Instagram!$A:$A,"&lt;="&amp;DATE(2027,9,30))</f>
        <v>0</v>
      </c>
      <c r="J36" s="21" t="n">
        <f aca="false">SUMIFS(Website!$B:$B,Website!$A:$A,"&gt;="&amp;DATE(2027,9,1),Website!$A:$A,"&lt;="&amp;DATE(2027,9,30))</f>
        <v>0</v>
      </c>
      <c r="K36" s="21" t="n">
        <f aca="false">SUMIFS(Website!$C:$C,Website!$A:$A,"&gt;="&amp;DATE(2027,9,1),Website!$A:$A,"&lt;="&amp;DATE(2027,9,30))</f>
        <v>0</v>
      </c>
      <c r="L36" s="21" t="n">
        <f aca="false">SUMIFS(Website!$F:$F,Website!$A:$A,"&gt;="&amp;DATE(2027,9,1),Website!$A:$A,"&lt;="&amp;DATE(2027,9,30))</f>
        <v>0</v>
      </c>
      <c r="M36" s="21" t="n">
        <f aca="false">SUMIFS(Airbnb!$C:$C,Airbnb!$A:$A,"&gt;="&amp;DATE(2027,9,1),Airbnb!$A:$A,"&lt;="&amp;DATE(2027,9,30))</f>
        <v>0</v>
      </c>
      <c r="N36" s="21" t="n">
        <f aca="false">SUMIFS(Airbnb!$D:$D,Airbnb!$A:$A,"&gt;="&amp;DATE(2027,9,1),Airbnb!$A:$A,"&lt;="&amp;DATE(2027,9,30))</f>
        <v>0</v>
      </c>
      <c r="O36" s="21" t="n">
        <f aca="false">SUMIFS(Airbnb!$E:$E,Airbnb!$A:$A,"&gt;="&amp;DATE(2027,9,1),Airbnb!$A:$A,"&lt;="&amp;DATE(2027,9,30))</f>
        <v>0</v>
      </c>
      <c r="P36" s="22" t="n">
        <f aca="false">SUMIFS(Airbnb!$G:$G,Airbnb!$A:$A,"&gt;="&amp;DATE(2027,9,1),Airbnb!$A:$A,"&lt;="&amp;DATE(2027,9,30))</f>
        <v>0</v>
      </c>
      <c r="Q36" s="53" t="n">
        <f aca="false">IFERROR(AVERAGEIFS(Airbnb!$H:$H,Airbnb!$A:$A,"&gt;="&amp;DATE(2027,9,1),Airbnb!$A:$A,"&lt;="&amp;DATE(2027,9,30)),0)</f>
        <v>0</v>
      </c>
    </row>
    <row r="37" customFormat="false" ht="15" hidden="false" customHeight="true" outlineLevel="0" collapsed="false">
      <c r="A37" s="24" t="s">
        <v>214</v>
      </c>
      <c r="B37" s="24" t="n">
        <f aca="false">SUMIFS(Facebook!$F:$F,Facebook!$A:$A,"&gt;="&amp;DATE(2027,10,1),Facebook!$A:$A,"&lt;="&amp;DATE(2027,10,31))</f>
        <v>0</v>
      </c>
      <c r="C37" s="24" t="n">
        <f aca="false">SUMIFS(Facebook!$E:$E,Facebook!$A:$A,"&gt;="&amp;DATE(2027,10,1),Facebook!$A:$A,"&lt;="&amp;DATE(2027,10,31))</f>
        <v>0</v>
      </c>
      <c r="D37" s="24" t="n">
        <f aca="false">SUMIFS(Facebook!$H:$H,Facebook!$A:$A,"&gt;="&amp;DATE(2027,10,1),Facebook!$A:$A,"&lt;="&amp;DATE(2027,10,31))</f>
        <v>0</v>
      </c>
      <c r="E37" s="24" t="n">
        <f aca="false">SUMIFS(Facebook!$I:$I,Facebook!$A:$A,"&gt;="&amp;DATE(2027,10,1),Facebook!$A:$A,"&lt;="&amp;DATE(2027,10,31))</f>
        <v>0</v>
      </c>
      <c r="F37" s="24" t="n">
        <f aca="false">SUMIFS(Instagram!$F:$F,Instagram!$A:$A,"&gt;="&amp;DATE(2027,10,1),Instagram!$A:$A,"&lt;="&amp;DATE(2027,10,31))</f>
        <v>0</v>
      </c>
      <c r="G37" s="24" t="n">
        <f aca="false">SUMIFS(Instagram!$E:$E,Instagram!$A:$A,"&gt;="&amp;DATE(2027,10,1),Instagram!$A:$A,"&lt;="&amp;DATE(2027,10,31))</f>
        <v>0</v>
      </c>
      <c r="H37" s="24" t="n">
        <f aca="false">SUMIFS(Instagram!$H:$H,Instagram!$A:$A,"&gt;="&amp;DATE(2027,10,1),Instagram!$A:$A,"&lt;="&amp;DATE(2027,10,31))</f>
        <v>0</v>
      </c>
      <c r="I37" s="24" t="n">
        <f aca="false">SUMIFS(Instagram!$I:$I,Instagram!$A:$A,"&gt;="&amp;DATE(2027,10,1),Instagram!$A:$A,"&lt;="&amp;DATE(2027,10,31))</f>
        <v>0</v>
      </c>
      <c r="J37" s="24" t="n">
        <f aca="false">SUMIFS(Website!$B:$B,Website!$A:$A,"&gt;="&amp;DATE(2027,10,1),Website!$A:$A,"&lt;="&amp;DATE(2027,10,31))</f>
        <v>0</v>
      </c>
      <c r="K37" s="24" t="n">
        <f aca="false">SUMIFS(Website!$C:$C,Website!$A:$A,"&gt;="&amp;DATE(2027,10,1),Website!$A:$A,"&lt;="&amp;DATE(2027,10,31))</f>
        <v>0</v>
      </c>
      <c r="L37" s="24" t="n">
        <f aca="false">SUMIFS(Website!$F:$F,Website!$A:$A,"&gt;="&amp;DATE(2027,10,1),Website!$A:$A,"&lt;="&amp;DATE(2027,10,31))</f>
        <v>0</v>
      </c>
      <c r="M37" s="24" t="n">
        <f aca="false">SUMIFS(Airbnb!$C:$C,Airbnb!$A:$A,"&gt;="&amp;DATE(2027,10,1),Airbnb!$A:$A,"&lt;="&amp;DATE(2027,10,31))</f>
        <v>0</v>
      </c>
      <c r="N37" s="24" t="n">
        <f aca="false">SUMIFS(Airbnb!$D:$D,Airbnb!$A:$A,"&gt;="&amp;DATE(2027,10,1),Airbnb!$A:$A,"&lt;="&amp;DATE(2027,10,31))</f>
        <v>0</v>
      </c>
      <c r="O37" s="24" t="n">
        <f aca="false">SUMIFS(Airbnb!$E:$E,Airbnb!$A:$A,"&gt;="&amp;DATE(2027,10,1),Airbnb!$A:$A,"&lt;="&amp;DATE(2027,10,31))</f>
        <v>0</v>
      </c>
      <c r="P37" s="25" t="n">
        <f aca="false">SUMIFS(Airbnb!$G:$G,Airbnb!$A:$A,"&gt;="&amp;DATE(2027,10,1),Airbnb!$A:$A,"&lt;="&amp;DATE(2027,10,31))</f>
        <v>0</v>
      </c>
      <c r="Q37" s="54" t="n">
        <f aca="false">IFERROR(AVERAGEIFS(Airbnb!$H:$H,Airbnb!$A:$A,"&gt;="&amp;DATE(2027,10,1),Airbnb!$A:$A,"&lt;="&amp;DATE(2027,10,31)),0)</f>
        <v>0</v>
      </c>
    </row>
    <row r="38" customFormat="false" ht="15" hidden="false" customHeight="true" outlineLevel="0" collapsed="false">
      <c r="A38" s="21" t="s">
        <v>215</v>
      </c>
      <c r="B38" s="21" t="n">
        <f aca="false">SUMIFS(Facebook!$F:$F,Facebook!$A:$A,"&gt;="&amp;DATE(2027,11,1),Facebook!$A:$A,"&lt;="&amp;DATE(2027,11,30))</f>
        <v>0</v>
      </c>
      <c r="C38" s="21" t="n">
        <f aca="false">SUMIFS(Facebook!$E:$E,Facebook!$A:$A,"&gt;="&amp;DATE(2027,11,1),Facebook!$A:$A,"&lt;="&amp;DATE(2027,11,30))</f>
        <v>0</v>
      </c>
      <c r="D38" s="21" t="n">
        <f aca="false">SUMIFS(Facebook!$H:$H,Facebook!$A:$A,"&gt;="&amp;DATE(2027,11,1),Facebook!$A:$A,"&lt;="&amp;DATE(2027,11,30))</f>
        <v>0</v>
      </c>
      <c r="E38" s="21" t="n">
        <f aca="false">SUMIFS(Facebook!$I:$I,Facebook!$A:$A,"&gt;="&amp;DATE(2027,11,1),Facebook!$A:$A,"&lt;="&amp;DATE(2027,11,30))</f>
        <v>0</v>
      </c>
      <c r="F38" s="21" t="n">
        <f aca="false">SUMIFS(Instagram!$F:$F,Instagram!$A:$A,"&gt;="&amp;DATE(2027,11,1),Instagram!$A:$A,"&lt;="&amp;DATE(2027,11,30))</f>
        <v>0</v>
      </c>
      <c r="G38" s="21" t="n">
        <f aca="false">SUMIFS(Instagram!$E:$E,Instagram!$A:$A,"&gt;="&amp;DATE(2027,11,1),Instagram!$A:$A,"&lt;="&amp;DATE(2027,11,30))</f>
        <v>0</v>
      </c>
      <c r="H38" s="21" t="n">
        <f aca="false">SUMIFS(Instagram!$H:$H,Instagram!$A:$A,"&gt;="&amp;DATE(2027,11,1),Instagram!$A:$A,"&lt;="&amp;DATE(2027,11,30))</f>
        <v>0</v>
      </c>
      <c r="I38" s="21" t="n">
        <f aca="false">SUMIFS(Instagram!$I:$I,Instagram!$A:$A,"&gt;="&amp;DATE(2027,11,1),Instagram!$A:$A,"&lt;="&amp;DATE(2027,11,30))</f>
        <v>0</v>
      </c>
      <c r="J38" s="21" t="n">
        <f aca="false">SUMIFS(Website!$B:$B,Website!$A:$A,"&gt;="&amp;DATE(2027,11,1),Website!$A:$A,"&lt;="&amp;DATE(2027,11,30))</f>
        <v>0</v>
      </c>
      <c r="K38" s="21" t="n">
        <f aca="false">SUMIFS(Website!$C:$C,Website!$A:$A,"&gt;="&amp;DATE(2027,11,1),Website!$A:$A,"&lt;="&amp;DATE(2027,11,30))</f>
        <v>0</v>
      </c>
      <c r="L38" s="21" t="n">
        <f aca="false">SUMIFS(Website!$F:$F,Website!$A:$A,"&gt;="&amp;DATE(2027,11,1),Website!$A:$A,"&lt;="&amp;DATE(2027,11,30))</f>
        <v>0</v>
      </c>
      <c r="M38" s="21" t="n">
        <f aca="false">SUMIFS(Airbnb!$C:$C,Airbnb!$A:$A,"&gt;="&amp;DATE(2027,11,1),Airbnb!$A:$A,"&lt;="&amp;DATE(2027,11,30))</f>
        <v>0</v>
      </c>
      <c r="N38" s="21" t="n">
        <f aca="false">SUMIFS(Airbnb!$D:$D,Airbnb!$A:$A,"&gt;="&amp;DATE(2027,11,1),Airbnb!$A:$A,"&lt;="&amp;DATE(2027,11,30))</f>
        <v>0</v>
      </c>
      <c r="O38" s="21" t="n">
        <f aca="false">SUMIFS(Airbnb!$E:$E,Airbnb!$A:$A,"&gt;="&amp;DATE(2027,11,1),Airbnb!$A:$A,"&lt;="&amp;DATE(2027,11,30))</f>
        <v>0</v>
      </c>
      <c r="P38" s="22" t="n">
        <f aca="false">SUMIFS(Airbnb!$G:$G,Airbnb!$A:$A,"&gt;="&amp;DATE(2027,11,1),Airbnb!$A:$A,"&lt;="&amp;DATE(2027,11,30))</f>
        <v>0</v>
      </c>
      <c r="Q38" s="53" t="n">
        <f aca="false">IFERROR(AVERAGEIFS(Airbnb!$H:$H,Airbnb!$A:$A,"&gt;="&amp;DATE(2027,11,1),Airbnb!$A:$A,"&lt;="&amp;DATE(2027,11,30)),0)</f>
        <v>0</v>
      </c>
    </row>
    <row r="39" customFormat="false" ht="15" hidden="false" customHeight="true" outlineLevel="0" collapsed="false">
      <c r="A39" s="24" t="s">
        <v>216</v>
      </c>
      <c r="B39" s="24" t="n">
        <f aca="false">SUMIFS(Facebook!$F:$F,Facebook!$A:$A,"&gt;="&amp;DATE(2027,12,1),Facebook!$A:$A,"&lt;="&amp;DATE(2027,12,31))</f>
        <v>0</v>
      </c>
      <c r="C39" s="24" t="n">
        <f aca="false">SUMIFS(Facebook!$E:$E,Facebook!$A:$A,"&gt;="&amp;DATE(2027,12,1),Facebook!$A:$A,"&lt;="&amp;DATE(2027,12,31))</f>
        <v>0</v>
      </c>
      <c r="D39" s="24" t="n">
        <f aca="false">SUMIFS(Facebook!$H:$H,Facebook!$A:$A,"&gt;="&amp;DATE(2027,12,1),Facebook!$A:$A,"&lt;="&amp;DATE(2027,12,31))</f>
        <v>0</v>
      </c>
      <c r="E39" s="24" t="n">
        <f aca="false">SUMIFS(Facebook!$I:$I,Facebook!$A:$A,"&gt;="&amp;DATE(2027,12,1),Facebook!$A:$A,"&lt;="&amp;DATE(2027,12,31))</f>
        <v>0</v>
      </c>
      <c r="F39" s="24" t="n">
        <f aca="false">SUMIFS(Instagram!$F:$F,Instagram!$A:$A,"&gt;="&amp;DATE(2027,12,1),Instagram!$A:$A,"&lt;="&amp;DATE(2027,12,31))</f>
        <v>0</v>
      </c>
      <c r="G39" s="24" t="n">
        <f aca="false">SUMIFS(Instagram!$E:$E,Instagram!$A:$A,"&gt;="&amp;DATE(2027,12,1),Instagram!$A:$A,"&lt;="&amp;DATE(2027,12,31))</f>
        <v>0</v>
      </c>
      <c r="H39" s="24" t="n">
        <f aca="false">SUMIFS(Instagram!$H:$H,Instagram!$A:$A,"&gt;="&amp;DATE(2027,12,1),Instagram!$A:$A,"&lt;="&amp;DATE(2027,12,31))</f>
        <v>0</v>
      </c>
      <c r="I39" s="24" t="n">
        <f aca="false">SUMIFS(Instagram!$I:$I,Instagram!$A:$A,"&gt;="&amp;DATE(2027,12,1),Instagram!$A:$A,"&lt;="&amp;DATE(2027,12,31))</f>
        <v>0</v>
      </c>
      <c r="J39" s="24" t="n">
        <f aca="false">SUMIFS(Website!$B:$B,Website!$A:$A,"&gt;="&amp;DATE(2027,12,1),Website!$A:$A,"&lt;="&amp;DATE(2027,12,31))</f>
        <v>0</v>
      </c>
      <c r="K39" s="24" t="n">
        <f aca="false">SUMIFS(Website!$C:$C,Website!$A:$A,"&gt;="&amp;DATE(2027,12,1),Website!$A:$A,"&lt;="&amp;DATE(2027,12,31))</f>
        <v>0</v>
      </c>
      <c r="L39" s="24" t="n">
        <f aca="false">SUMIFS(Website!$F:$F,Website!$A:$A,"&gt;="&amp;DATE(2027,12,1),Website!$A:$A,"&lt;="&amp;DATE(2027,12,31))</f>
        <v>0</v>
      </c>
      <c r="M39" s="24" t="n">
        <f aca="false">SUMIFS(Airbnb!$C:$C,Airbnb!$A:$A,"&gt;="&amp;DATE(2027,12,1),Airbnb!$A:$A,"&lt;="&amp;DATE(2027,12,31))</f>
        <v>0</v>
      </c>
      <c r="N39" s="24" t="n">
        <f aca="false">SUMIFS(Airbnb!$D:$D,Airbnb!$A:$A,"&gt;="&amp;DATE(2027,12,1),Airbnb!$A:$A,"&lt;="&amp;DATE(2027,12,31))</f>
        <v>0</v>
      </c>
      <c r="O39" s="24" t="n">
        <f aca="false">SUMIFS(Airbnb!$E:$E,Airbnb!$A:$A,"&gt;="&amp;DATE(2027,12,1),Airbnb!$A:$A,"&lt;="&amp;DATE(2027,12,31))</f>
        <v>0</v>
      </c>
      <c r="P39" s="25" t="n">
        <f aca="false">SUMIFS(Airbnb!$G:$G,Airbnb!$A:$A,"&gt;="&amp;DATE(2027,12,1),Airbnb!$A:$A,"&lt;="&amp;DATE(2027,12,31))</f>
        <v>0</v>
      </c>
      <c r="Q39" s="54" t="n">
        <f aca="false">IFERROR(AVERAGEIFS(Airbnb!$H:$H,Airbnb!$A:$A,"&gt;="&amp;DATE(2027,12,1),Airbnb!$A:$A,"&lt;="&amp;DATE(2027,12,31)),0)</f>
        <v>0</v>
      </c>
    </row>
    <row r="41" customFormat="false" ht="15" hidden="false" customHeight="true" outlineLevel="0" collapsed="false">
      <c r="A41" s="55" t="s">
        <v>217</v>
      </c>
      <c r="B41" s="56" t="n">
        <f aca="false">SUM(B4:B39)</f>
        <v>21974</v>
      </c>
      <c r="C41" s="56" t="n">
        <f aca="false">SUM(C4:C39)</f>
        <v>3142</v>
      </c>
      <c r="D41" s="56" t="n">
        <f aca="false">SUM(D4:D39)</f>
        <v>0</v>
      </c>
      <c r="E41" s="56" t="n">
        <f aca="false">SUM(E4:E39)</f>
        <v>0</v>
      </c>
      <c r="F41" s="56" t="n">
        <f aca="false">SUM(F4:F39)</f>
        <v>106716</v>
      </c>
      <c r="G41" s="56" t="n">
        <f aca="false">SUM(G4:G39)</f>
        <v>1949</v>
      </c>
      <c r="H41" s="56" t="n">
        <f aca="false">SUM(H4:H39)</f>
        <v>422</v>
      </c>
      <c r="I41" s="56" t="n">
        <f aca="false">SUM(I4:I39)</f>
        <v>2</v>
      </c>
      <c r="J41" s="56" t="n">
        <f aca="false">SUM(J4:J39)</f>
        <v>167230</v>
      </c>
      <c r="K41" s="56" t="n">
        <f aca="false">SUM(K4:K39)</f>
        <v>375349</v>
      </c>
      <c r="L41" s="56" t="n">
        <f aca="false">SUM(L4:L39)</f>
        <v>0</v>
      </c>
      <c r="M41" s="56" t="n">
        <f aca="false">SUM(M4:M39)</f>
        <v>742</v>
      </c>
      <c r="N41" s="56" t="n">
        <f aca="false">SUM(N4:N39)</f>
        <v>14</v>
      </c>
      <c r="O41" s="56" t="n">
        <f aca="false">SUM(O4:O39)</f>
        <v>9</v>
      </c>
      <c r="P41" s="57" t="n">
        <f aca="false">SUM(P4:P39)</f>
        <v>3198</v>
      </c>
      <c r="Q41" s="58" t="n">
        <f aca="false">AVERAGE(Q4:Q39)</f>
        <v>0.0349114172063426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2026-07-13T17:41:57Z</dcterms:created>
  <dc:creator>openpyxl</dc:creator>
  <dc:description/>
  <dc:language>en-US</dc:language>
  <cp:lastModifiedBy/>
  <dcterms:modified xsi:type="dcterms:W3CDTF">2026-07-15T15:59:56Z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